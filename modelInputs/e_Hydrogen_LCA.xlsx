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VAZQUEH\Documents\Python Codes\e-Hydrogen Cost Optimizer\modelInputs\"/>
    </mc:Choice>
  </mc:AlternateContent>
  <xr:revisionPtr revIDLastSave="0" documentId="13_ncr:1_{5CD8636C-8373-49F5-BF00-1CB74252E995}" xr6:coauthVersionLast="47" xr6:coauthVersionMax="47" xr10:uidLastSave="{00000000-0000-0000-0000-000000000000}"/>
  <bookViews>
    <workbookView xWindow="-96" yWindow="-96" windowWidth="23232" windowHeight="13872" firstSheet="27" activeTab="29" xr2:uid="{00000000-000D-0000-FFFF-FFFF00000000}"/>
  </bookViews>
  <sheets>
    <sheet name="Full LCI PEMWE unit" sheetId="1" r:id="rId1"/>
    <sheet name="actbop1" sheetId="2" r:id="rId2"/>
    <sheet name="actbop2" sheetId="3" r:id="rId3"/>
    <sheet name="actbop3" sheetId="4" r:id="rId4"/>
    <sheet name="actbop4" sheetId="5" r:id="rId5"/>
    <sheet name="actbop5" sheetId="6" r:id="rId6"/>
    <sheet name="actbop6" sheetId="7" r:id="rId7"/>
    <sheet name="actbop7" sheetId="8" r:id="rId8"/>
    <sheet name="actbop8" sheetId="9" r:id="rId9"/>
    <sheet name="actbop9" sheetId="10" r:id="rId10"/>
    <sheet name="actbop10" sheetId="11" r:id="rId11"/>
    <sheet name="actbop11" sheetId="12" r:id="rId12"/>
    <sheet name="actbop12" sheetId="13" r:id="rId13"/>
    <sheet name="actbop13" sheetId="14" r:id="rId14"/>
    <sheet name="actbop14" sheetId="15" r:id="rId15"/>
    <sheet name="actbop15" sheetId="16" r:id="rId16"/>
    <sheet name="actbop16" sheetId="17" r:id="rId17"/>
    <sheet name="actbop17" sheetId="18" r:id="rId18"/>
    <sheet name="actbop" sheetId="19" r:id="rId19"/>
    <sheet name="actstack1" sheetId="20" r:id="rId20"/>
    <sheet name="actstack2" sheetId="21" r:id="rId21"/>
    <sheet name="actstack3" sheetId="22" r:id="rId22"/>
    <sheet name="actstack4" sheetId="23" r:id="rId23"/>
    <sheet name="actstack5" sheetId="24" r:id="rId24"/>
    <sheet name="actstack6" sheetId="25" r:id="rId25"/>
    <sheet name="actstack7" sheetId="26" r:id="rId26"/>
    <sheet name="actstack8" sheetId="27" r:id="rId27"/>
    <sheet name="actstack" sheetId="28" r:id="rId28"/>
    <sheet name="electrolyser" sheetId="29" r:id="rId29"/>
    <sheet name="hydrogen_storage" sheetId="30" r:id="rId30"/>
    <sheet name="pv_electricity" sheetId="31" r:id="rId31"/>
    <sheet name="wind_electricity" sheetId="32" r:id="rId32"/>
    <sheet name="plant_operation" sheetId="33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Holkan Vazquez Sanchez</author>
  </authors>
  <commentList>
    <comment ref="G2" authorId="0" shapeId="0" xr:uid="{00000000-0006-0000-1F00-000001000000}">
      <text>
        <r>
          <rPr>
            <sz val="11"/>
            <color theme="1"/>
            <rFont val="Aptos Narrow"/>
            <family val="2"/>
            <scheme val="minor"/>
          </rPr>
          <t>Holkan Vazquez Sanchez:
lifetime = 20 years
capacity_MW=4.5 MW
lubricating_oil_maintenance= 354.38 kg</t>
        </r>
      </text>
    </comment>
  </commentList>
</comments>
</file>

<file path=xl/sharedStrings.xml><?xml version="1.0" encoding="utf-8"?>
<sst xmlns="http://schemas.openxmlformats.org/spreadsheetml/2006/main" count="2450" uniqueCount="285">
  <si>
    <t>skip</t>
  </si>
  <si>
    <t>This worksheet contains the values for a PEMWE unit of 1 MW Balance of Plant (BoP) and stak components</t>
  </si>
  <si>
    <t>Adapted from:</t>
  </si>
  <si>
    <t>https://doi.org/10.1016/j.est.2021.102759</t>
  </si>
  <si>
    <t>Activity Code</t>
  </si>
  <si>
    <t>Components</t>
  </si>
  <si>
    <t>ecoinvent (3.10.1) Database Process</t>
  </si>
  <si>
    <t>Region</t>
  </si>
  <si>
    <t>Value</t>
  </si>
  <si>
    <t>Unit</t>
  </si>
  <si>
    <t>actbop</t>
  </si>
  <si>
    <t>Balance of Plant (BoP)</t>
  </si>
  <si>
    <t>GLO</t>
  </si>
  <si>
    <t>unit</t>
  </si>
  <si>
    <t>actbop1</t>
  </si>
  <si>
    <t>Power electronics (rectifier, voltage adaption)</t>
  </si>
  <si>
    <t>market for aluminium, wrought alloy</t>
  </si>
  <si>
    <t>kg</t>
  </si>
  <si>
    <t>market for sheet rolling, copper</t>
  </si>
  <si>
    <t>market for reinforcing steel</t>
  </si>
  <si>
    <t>market for sheet rolling, aluminium</t>
  </si>
  <si>
    <t>market for sheet rolling, steel</t>
  </si>
  <si>
    <t>market for tube insulation, elastomere</t>
  </si>
  <si>
    <t>market for wire drawing, copper</t>
  </si>
  <si>
    <t>actbop2</t>
  </si>
  <si>
    <t>Control panel / electronics</t>
  </si>
  <si>
    <t>market for electronics, for control units</t>
  </si>
  <si>
    <t>actbop3</t>
  </si>
  <si>
    <t>Tubing and pump</t>
  </si>
  <si>
    <t>market for steel, low-alloyed</t>
  </si>
  <si>
    <t>actbop4</t>
  </si>
  <si>
    <t>Steel construction element</t>
  </si>
  <si>
    <t>market for steel, chromium steel 18/8, hot rolled</t>
  </si>
  <si>
    <t>actpob5</t>
  </si>
  <si>
    <t>Gas purification (deoxidiser) and water treatment</t>
  </si>
  <si>
    <t>actbop6</t>
  </si>
  <si>
    <t>Water gas separator</t>
  </si>
  <si>
    <t>market for copper-rich materials</t>
  </si>
  <si>
    <t>Image source:</t>
  </si>
  <si>
    <t>https://synerhy.com/en/2022/02/balance-of-plant-bop-of-an-electrolyser/</t>
  </si>
  <si>
    <t>actbop7</t>
  </si>
  <si>
    <t>Valves</t>
  </si>
  <si>
    <t>market for polypropylene, granulate</t>
  </si>
  <si>
    <t>market for injection moulding</t>
  </si>
  <si>
    <t>actbop8</t>
  </si>
  <si>
    <t>Back pressure regulator</t>
  </si>
  <si>
    <t>market for lubricating oil</t>
  </si>
  <si>
    <t>RoW</t>
  </si>
  <si>
    <t>https://www.sciencedirect.com/science/article/pii/S0960148124019396</t>
  </si>
  <si>
    <t>actbop9</t>
  </si>
  <si>
    <t>Ion exchanger for water treatment</t>
  </si>
  <si>
    <t>market for zeolite, powder</t>
  </si>
  <si>
    <t>actbop10</t>
  </si>
  <si>
    <t>Heat exchanger</t>
  </si>
  <si>
    <t>market for sheet rolling, chromium steel</t>
  </si>
  <si>
    <t>actbop11</t>
  </si>
  <si>
    <t>Water purifier and feed tank</t>
  </si>
  <si>
    <t>market for extrusion, plastic pipes</t>
  </si>
  <si>
    <t>market for polyethylene, low density, granulate</t>
  </si>
  <si>
    <t>actbop12</t>
  </si>
  <si>
    <t>Frequency convertor for diaphragm compressor</t>
  </si>
  <si>
    <t>actbop13</t>
  </si>
  <si>
    <t>Diaphragm for diaphragm compressor</t>
  </si>
  <si>
    <t>market for cast iron</t>
  </si>
  <si>
    <t>market for ethylene glycol</t>
  </si>
  <si>
    <t>actbop14</t>
  </si>
  <si>
    <t>Container with pipes and fittings for diaphragm crompressor</t>
  </si>
  <si>
    <t>actbop15</t>
  </si>
  <si>
    <t>Buffertank</t>
  </si>
  <si>
    <t>market for welding, arc, steel</t>
  </si>
  <si>
    <t>m</t>
  </si>
  <si>
    <t>actbop16</t>
  </si>
  <si>
    <t>Container</t>
  </si>
  <si>
    <t>market for steel, low-alloyed, hot rolled</t>
  </si>
  <si>
    <t>actbop17</t>
  </si>
  <si>
    <t>Foundation</t>
  </si>
  <si>
    <t>market for concrete, 35MPa</t>
  </si>
  <si>
    <t>m3</t>
  </si>
  <si>
    <t>actstack</t>
  </si>
  <si>
    <t>Stack</t>
  </si>
  <si>
    <t>actstack1</t>
  </si>
  <si>
    <t>End plate</t>
  </si>
  <si>
    <t>actstack2</t>
  </si>
  <si>
    <t>Bipolar plate</t>
  </si>
  <si>
    <t>titanium production</t>
  </si>
  <si>
    <t>actstack3</t>
  </si>
  <si>
    <t>Membrane polymer</t>
  </si>
  <si>
    <t>market for tetrafluoroethylene</t>
  </si>
  <si>
    <t>actstack4</t>
  </si>
  <si>
    <t>Electrocatalyst anode</t>
  </si>
  <si>
    <t>market for carbon black</t>
  </si>
  <si>
    <t>market for iridium</t>
  </si>
  <si>
    <t>RER</t>
  </si>
  <si>
    <t>actstack5</t>
  </si>
  <si>
    <t>Electrocatalyst cathode</t>
  </si>
  <si>
    <t>market for platinum</t>
  </si>
  <si>
    <t>actstack6</t>
  </si>
  <si>
    <t>Current collector</t>
  </si>
  <si>
    <t>actstack7</t>
  </si>
  <si>
    <t>Bolts and screws</t>
  </si>
  <si>
    <t>actstack8</t>
  </si>
  <si>
    <t>Gasket</t>
  </si>
  <si>
    <t>market for synthetic rubber</t>
  </si>
  <si>
    <t>Additional Manufacturing Energy</t>
  </si>
  <si>
    <t>PEM Stack</t>
  </si>
  <si>
    <t>market group for electricity, low voltage</t>
  </si>
  <si>
    <t>kWh</t>
  </si>
  <si>
    <t>PEM BoP</t>
  </si>
  <si>
    <t>cutoff</t>
  </si>
  <si>
    <t>Database</t>
  </si>
  <si>
    <t>e-Hydrogen LCA</t>
  </si>
  <si>
    <t>format</t>
  </si>
  <si>
    <t>Excel spreadsheet</t>
  </si>
  <si>
    <t>Activity</t>
  </si>
  <si>
    <t>Power Electronics</t>
  </si>
  <si>
    <t>code</t>
  </si>
  <si>
    <t>location</t>
  </si>
  <si>
    <t>amount</t>
  </si>
  <si>
    <t>type</t>
  </si>
  <si>
    <t>process</t>
  </si>
  <si>
    <t>reference product</t>
  </si>
  <si>
    <t>Power electronics assembly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</si>
  <si>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</si>
  <si>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</si>
  <si>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</si>
  <si>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</si>
  <si>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</si>
  <si>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</si>
  <si>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</si>
  <si>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</si>
  <si>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</si>
  <si>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</si>
  <si>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ecoinvent-310-cutoff</t>
  </si>
  <si>
    <t>None</t>
  </si>
  <si>
    <t>technosphere</t>
  </si>
  <si>
    <t>aluminium, wrought alloy</t>
  </si>
  <si>
    <t>(Unknown)</t>
  </si>
  <si>
    <t>sheet rolling, copper</t>
  </si>
  <si>
    <t>reinforcing steel</t>
  </si>
  <si>
    <t>sheet rolling, aluminium</t>
  </si>
  <si>
    <t>sheet rolling, steel</t>
  </si>
  <si>
    <t>tube insulation, elastomere</t>
  </si>
  <si>
    <t>wire drawing, copper</t>
  </si>
  <si>
    <t>Control Panel / Electronics</t>
  </si>
  <si>
    <t>Control panel / electronics assembly</t>
  </si>
  <si>
    <t>electronics, for control units</t>
  </si>
  <si>
    <t>Tubing and Pump</t>
  </si>
  <si>
    <t>Tubing and pump assembly</t>
  </si>
  <si>
    <t>steel, low-alloyed</t>
  </si>
  <si>
    <t>Steel Construction Element</t>
  </si>
  <si>
    <t>Steel construction assembly</t>
  </si>
  <si>
    <t>steel, chromium steel 18/8, hot rolled</t>
  </si>
  <si>
    <t>Gas Purification and Water Treatment</t>
  </si>
  <si>
    <t>actbop5</t>
  </si>
  <si>
    <t>Gas purification and water treatment assembly</t>
  </si>
  <si>
    <t>Water Gas Separator</t>
  </si>
  <si>
    <t>Water gas separator assembly</t>
  </si>
  <si>
    <t>copper-rich materials</t>
  </si>
  <si>
    <t>Valves assembly</t>
  </si>
  <si>
    <t>polypropylene, granulate</t>
  </si>
  <si>
    <t>injection moulding</t>
  </si>
  <si>
    <t>Back Pressure Regulator</t>
  </si>
  <si>
    <t>Back pressure regulator assembly</t>
  </si>
  <si>
    <t>lubricating oil</t>
  </si>
  <si>
    <t>Ion Exchange for Water Treatment</t>
  </si>
  <si>
    <t>Ion exchange for water treatment assembly</t>
  </si>
  <si>
    <t>zeolite, powder</t>
  </si>
  <si>
    <t>Heat Exchanger</t>
  </si>
  <si>
    <t>Heat exchanger assembly</t>
  </si>
  <si>
    <t>sheet rolling, chromium steel</t>
  </si>
  <si>
    <t>Water Purifier and Feedtank</t>
  </si>
  <si>
    <t>Water purifier and feedtank assembly</t>
  </si>
  <si>
    <t>extrusion, plastic pipes</t>
  </si>
  <si>
    <t>polyethylene, low density, granulate</t>
  </si>
  <si>
    <t>Frequency Convertor for Diaphragm Compressor</t>
  </si>
  <si>
    <t>Frequency convertor for diaphragm compressor assembly</t>
  </si>
  <si>
    <t>Diaphragm for Diaphragm Compressor</t>
  </si>
  <si>
    <t>Diaphragm for diaphragm compressor assembly</t>
  </si>
  <si>
    <t>cast iron</t>
  </si>
  <si>
    <t>ethylene glycol</t>
  </si>
  <si>
    <t>Container with Pipes and Fittings for Diaphragm Compressor</t>
  </si>
  <si>
    <t>Container with pipes and fittings for diaphragm compressor assembly</t>
  </si>
  <si>
    <t>Buffertank assembly</t>
  </si>
  <si>
    <t>welding, arc, steel</t>
  </si>
  <si>
    <t>Container assembly</t>
  </si>
  <si>
    <t>steel, low-alloyed, hot rolled</t>
  </si>
  <si>
    <t>Foundation assembly</t>
  </si>
  <si>
    <t>concrete, 35MPa</t>
  </si>
  <si>
    <t>Balance of Plant</t>
  </si>
  <si>
    <t>Balance of plant assembly</t>
  </si>
  <si>
    <t>electricity</t>
  </si>
  <si>
    <t>electricity, low voltage</t>
  </si>
  <si>
    <t>End Plate</t>
  </si>
  <si>
    <t>End plate assembly</t>
  </si>
  <si>
    <t>Bipolar Plate</t>
  </si>
  <si>
    <t>Bipolar plate assembly</t>
  </si>
  <si>
    <t>titanium</t>
  </si>
  <si>
    <t>Membrane Polymer</t>
  </si>
  <si>
    <t>Membrane polymer assembly</t>
  </si>
  <si>
    <t>tetrafluoroethylene</t>
  </si>
  <si>
    <t>Electrocatalyst Anode</t>
  </si>
  <si>
    <t>Electrocatalyst anode assembly</t>
  </si>
  <si>
    <t>carbon black</t>
  </si>
  <si>
    <t>platinum</t>
  </si>
  <si>
    <t>Electrocatalyst Cathode</t>
  </si>
  <si>
    <t>Electrocatalyst cathode assembly</t>
  </si>
  <si>
    <t>Current Collector</t>
  </si>
  <si>
    <t>Current collector assembly</t>
  </si>
  <si>
    <t>Bolts and Screws</t>
  </si>
  <si>
    <t>Bolts and screws assembly</t>
  </si>
  <si>
    <t>Gasket assembly</t>
  </si>
  <si>
    <t>synthetic rubber</t>
  </si>
  <si>
    <t>Stack assembly</t>
  </si>
  <si>
    <t>Electrolyser</t>
  </si>
  <si>
    <t>actelectrolyser</t>
  </si>
  <si>
    <t>Electrolyser assembly</t>
  </si>
  <si>
    <t>Hydrogen Storage, Type IV</t>
  </si>
  <si>
    <t>acthydrogenstorage</t>
  </si>
  <si>
    <t>Hydrogen storage tank, Type IV, 700 bar</t>
  </si>
  <si>
    <t>source</t>
  </si>
  <si>
    <t>https://doi.org/10.1016/j.dib.2019.104895</t>
  </si>
  <si>
    <t>market for ammonia, anhydrous, liquid</t>
  </si>
  <si>
    <t>chemicals</t>
  </si>
  <si>
    <t>ammonia, anhydrous, liquid</t>
  </si>
  <si>
    <t>market for propylene</t>
  </si>
  <si>
    <t>propylene</t>
  </si>
  <si>
    <t>market for chromium steel pipe</t>
  </si>
  <si>
    <t>metals</t>
  </si>
  <si>
    <t>chromium steel pipe</t>
  </si>
  <si>
    <t>market for glass fibre reinforced plastic, polyester resin, hand lay-up</t>
  </si>
  <si>
    <t>glass fibre reinforced plastic, polyester resin, hand lay-up</t>
  </si>
  <si>
    <t>market for polyethylene, high density, granulate</t>
  </si>
  <si>
    <t>polyethylene, high density, granulate</t>
  </si>
  <si>
    <t>market for polymer foaming</t>
  </si>
  <si>
    <t>polymer foaming</t>
  </si>
  <si>
    <t>market for silicon, electronics grade</t>
  </si>
  <si>
    <t>silicon, electronics grade</t>
  </si>
  <si>
    <t xml:space="preserve">Electricity Production, Photovoltaics </t>
  </si>
  <si>
    <t>pv_electricity</t>
  </si>
  <si>
    <t>formula</t>
  </si>
  <si>
    <t>market for photovoltaic slanted-roof installation, 3kWp, single-Si, panel, mounted, on roof</t>
  </si>
  <si>
    <t>1/(lifetime*(capacity*1000)*yield_corr)</t>
  </si>
  <si>
    <t>photovoltaic slanted-roof installation, 3kWp, single-Si, panel, mounted, on roof</t>
  </si>
  <si>
    <t>market for tap water</t>
  </si>
  <si>
    <t>installation*panel_area_scSi*water_pv_panels_cleaning</t>
  </si>
  <si>
    <t>water supply</t>
  </si>
  <si>
    <t>tap water</t>
  </si>
  <si>
    <t>market for wastewater, average</t>
  </si>
  <si>
    <t>-tapwater/1000</t>
  </si>
  <si>
    <t>waste treatment &amp; recycling</t>
  </si>
  <si>
    <t>wastewater, average</t>
  </si>
  <si>
    <t xml:space="preserve">Electricity Production, Wind Turbine </t>
  </si>
  <si>
    <t>wind_electricity</t>
  </si>
  <si>
    <t>comment</t>
  </si>
  <si>
    <t>market for wind turbine, 4.5MW, onshore</t>
  </si>
  <si>
    <t>(electrolyser_capacity)/(days*lifetime*daily_hydrogen_demmand)</t>
  </si>
  <si>
    <t>Cell to be edited accordingly to the FLH of the region (taken from e-Hydrogen Cost Optimizer), capacity_MW=4.5 MW</t>
  </si>
  <si>
    <t>wind turbine, 4.5MW, onshore</t>
  </si>
  <si>
    <t>market for wind turbine network connection, 4.5MW, onshore</t>
  </si>
  <si>
    <t>1/(lifetime*(capacity_MW*1000)*wind_load_hours)</t>
  </si>
  <si>
    <t>wind turbine network connection, 4.5MW, onshore</t>
  </si>
  <si>
    <t>lubricating_oil_maintenance*lifetime/(lifetime*(capacity_MW*1000)*wind_load_hours)</t>
  </si>
  <si>
    <t>lubricating_oil_maintenance= 354.38 kg</t>
  </si>
  <si>
    <t>market for waste mineral oil</t>
  </si>
  <si>
    <t>lubricating_oil</t>
  </si>
  <si>
    <t>waste mineral oil</t>
  </si>
  <si>
    <t>market for transport, freight, lorry 7.5-16 metric ton, EURO3</t>
  </si>
  <si>
    <t>metric ton*km</t>
  </si>
  <si>
    <t>(battery_energy_capacity*10e6)/120/(days*lifetime*daily_hydrogen_demmand)</t>
  </si>
  <si>
    <t>Calculated value. Two maintenance transports to the power plant with 200 km each. Once a year, the lubricating oil is transported and changed.</t>
  </si>
  <si>
    <t>transport</t>
  </si>
  <si>
    <t>transport, freight, lorry 7.5-16 metric ton, EURO3</t>
  </si>
  <si>
    <t>Plant Operation, Electrolyser</t>
  </si>
  <si>
    <t>plant_operation</t>
  </si>
  <si>
    <t>Plant operation, electrolyser</t>
  </si>
  <si>
    <t>Electricity Production, Photovoltaics</t>
  </si>
  <si>
    <t>electrolyser_efficiency*solarCapacity/(solarCapacity+windCapacity)</t>
  </si>
  <si>
    <t>Electricity Production, Wind Turbine</t>
  </si>
  <si>
    <t>hydrogen_storage/(days*lifetime*daily_hydrogen_demmand)</t>
  </si>
  <si>
    <t>market for battery, Li-ion, LFP, rechargeable, prismatic</t>
  </si>
  <si>
    <t>electronics</t>
  </si>
  <si>
    <t>battery, Li-ion, LFP, rechargeable, prismatic</t>
  </si>
  <si>
    <t>tap water production, seawater reverse osmosis, ultrafiltration pretreatment, enhance module, two stages</t>
  </si>
  <si>
    <t>((lubricating_oil/1000)/2)*(distance*2*lifetime/(lifetime*(capacity_MW*1000)*wind_load_hours))</t>
  </si>
  <si>
    <t>electrolyser_efficiency*windCapacity/(solarCapacity+windCapacity)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</si>
</sst>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11" fontId="0" fillId="2" borderId="0" xfId="0" applyNumberFormat="1" applyFill="1"/>
    <xf numFmtId="0" fontId="0" fillId="0" borderId="0" xfId="0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632460</xdr:colOff>
      <xdr:row>6</xdr:row>
      <xdr:rowOff>3810</xdr:rowOff>
    </xdr:from>
    <xdr:to>
      <xdr:col>14</xdr:col>
      <xdr:colOff>7620</xdr:colOff>
      <xdr:row>21</xdr:row>
      <xdr:rowOff>173750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2690" y="1101090"/>
          <a:ext cx="4495800" cy="29131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16</xdr:col>
      <xdr:colOff>41910</xdr:colOff>
      <xdr:row>5</xdr:row>
      <xdr:rowOff>15240</xdr:rowOff>
    </xdr:from>
    <xdr:to>
      <xdr:col>19</xdr:col>
      <xdr:colOff>523750</xdr:colOff>
      <xdr:row>24</xdr:row>
      <xdr:rowOff>140520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902940" y="929640"/>
          <a:ext cx="2402080" cy="36000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opLeftCell="A42" workbookViewId="0">
      <selection activeCell="A6" sqref="A6:F71"/>
    </sheetView>
  </sheetViews>
  <sheetFormatPr defaultColWidth="8.83984375" defaultRowHeight="14.4" x14ac:dyDescent="0.55000000000000004"/>
  <cols>
    <col min="1" max="1" width="11.83984375" customWidth="1"/>
    <col min="2" max="2" width="29.68359375" customWidth="1"/>
    <col min="3" max="3" width="62.15625" customWidth="1"/>
    <col min="4" max="4" width="9.3125" customWidth="1"/>
  </cols>
  <sheetData>
    <row r="1" spans="1:6" x14ac:dyDescent="0.55000000000000004">
      <c r="A1" t="s">
        <v>0</v>
      </c>
    </row>
    <row r="3" spans="1:6" x14ac:dyDescent="0.55000000000000004">
      <c r="A3" t="s">
        <v>1</v>
      </c>
    </row>
    <row r="4" spans="1:6" x14ac:dyDescent="0.55000000000000004">
      <c r="A4" t="s">
        <v>2</v>
      </c>
      <c r="B4" t="s">
        <v>3</v>
      </c>
    </row>
    <row r="6" spans="1:6" x14ac:dyDescent="0.55000000000000004">
      <c r="A6" t="s">
        <v>4</v>
      </c>
      <c r="B6" t="s">
        <v>5</v>
      </c>
      <c r="C6" t="s">
        <v>6</v>
      </c>
      <c r="D6" t="s">
        <v>7</v>
      </c>
      <c r="E6" t="s">
        <v>8</v>
      </c>
      <c r="F6" t="s">
        <v>9</v>
      </c>
    </row>
    <row r="7" spans="1:6" x14ac:dyDescent="0.55000000000000004">
      <c r="A7" s="4" t="s">
        <v>10</v>
      </c>
      <c r="B7" s="10" t="s">
        <v>11</v>
      </c>
      <c r="C7" s="9"/>
      <c r="D7" s="4" t="s">
        <v>12</v>
      </c>
      <c r="E7" s="4">
        <v>1</v>
      </c>
      <c r="F7" s="4" t="s">
        <v>13</v>
      </c>
    </row>
    <row r="8" spans="1:6" x14ac:dyDescent="0.55000000000000004">
      <c r="A8" s="8" t="s">
        <v>14</v>
      </c>
      <c r="B8" s="11" t="s">
        <v>15</v>
      </c>
      <c r="C8" s="4" t="s">
        <v>16</v>
      </c>
      <c r="D8" t="s">
        <v>12</v>
      </c>
      <c r="E8">
        <v>100</v>
      </c>
      <c r="F8" t="s">
        <v>17</v>
      </c>
    </row>
    <row r="9" spans="1:6" x14ac:dyDescent="0.55000000000000004">
      <c r="A9" s="9"/>
      <c r="B9" s="9"/>
      <c r="C9" s="4" t="s">
        <v>18</v>
      </c>
      <c r="D9" t="s">
        <v>12</v>
      </c>
      <c r="E9">
        <v>200</v>
      </c>
      <c r="F9" t="s">
        <v>17</v>
      </c>
    </row>
    <row r="10" spans="1:6" x14ac:dyDescent="0.55000000000000004">
      <c r="A10" s="9"/>
      <c r="B10" s="9"/>
      <c r="C10" s="4" t="s">
        <v>19</v>
      </c>
      <c r="D10" t="s">
        <v>12</v>
      </c>
      <c r="E10">
        <v>600</v>
      </c>
      <c r="F10" t="s">
        <v>17</v>
      </c>
    </row>
    <row r="11" spans="1:6" x14ac:dyDescent="0.55000000000000004">
      <c r="A11" s="9"/>
      <c r="B11" s="9"/>
      <c r="C11" s="4" t="s">
        <v>20</v>
      </c>
      <c r="D11" t="s">
        <v>12</v>
      </c>
      <c r="E11">
        <v>100</v>
      </c>
      <c r="F11" t="s">
        <v>17</v>
      </c>
    </row>
    <row r="12" spans="1:6" x14ac:dyDescent="0.55000000000000004">
      <c r="A12" s="9"/>
      <c r="B12" s="9"/>
      <c r="C12" s="4" t="s">
        <v>21</v>
      </c>
      <c r="D12" t="s">
        <v>12</v>
      </c>
      <c r="E12">
        <v>600</v>
      </c>
      <c r="F12" t="s">
        <v>17</v>
      </c>
    </row>
    <row r="13" spans="1:6" x14ac:dyDescent="0.55000000000000004">
      <c r="A13" s="9"/>
      <c r="B13" s="9"/>
      <c r="C13" s="4" t="s">
        <v>22</v>
      </c>
      <c r="D13" t="s">
        <v>12</v>
      </c>
      <c r="E13">
        <v>100</v>
      </c>
      <c r="F13" t="s">
        <v>17</v>
      </c>
    </row>
    <row r="14" spans="1:6" x14ac:dyDescent="0.55000000000000004">
      <c r="A14" s="9"/>
      <c r="B14" s="9"/>
      <c r="C14" s="4" t="s">
        <v>23</v>
      </c>
      <c r="D14" t="s">
        <v>12</v>
      </c>
      <c r="E14">
        <v>200</v>
      </c>
      <c r="F14" t="s">
        <v>17</v>
      </c>
    </row>
    <row r="15" spans="1:6" x14ac:dyDescent="0.55000000000000004">
      <c r="A15" s="1" t="s">
        <v>24</v>
      </c>
      <c r="B15" s="1" t="s">
        <v>25</v>
      </c>
      <c r="C15" s="4" t="s">
        <v>26</v>
      </c>
      <c r="D15" t="s">
        <v>12</v>
      </c>
      <c r="E15">
        <v>100</v>
      </c>
      <c r="F15" t="s">
        <v>17</v>
      </c>
    </row>
    <row r="16" spans="1:6" x14ac:dyDescent="0.55000000000000004">
      <c r="A16" s="8" t="s">
        <v>27</v>
      </c>
      <c r="B16" s="8" t="s">
        <v>28</v>
      </c>
      <c r="C16" s="4" t="s">
        <v>29</v>
      </c>
      <c r="D16" t="s">
        <v>12</v>
      </c>
      <c r="E16">
        <v>900</v>
      </c>
      <c r="F16" t="s">
        <v>17</v>
      </c>
    </row>
    <row r="17" spans="1:19" x14ac:dyDescent="0.55000000000000004">
      <c r="A17" s="9"/>
      <c r="B17" s="9"/>
      <c r="C17" s="5" t="s">
        <v>21</v>
      </c>
      <c r="D17" t="s">
        <v>12</v>
      </c>
      <c r="E17">
        <v>900</v>
      </c>
      <c r="F17" t="s">
        <v>17</v>
      </c>
    </row>
    <row r="18" spans="1:19" x14ac:dyDescent="0.55000000000000004">
      <c r="A18" s="8" t="s">
        <v>30</v>
      </c>
      <c r="B18" s="8" t="s">
        <v>31</v>
      </c>
      <c r="C18" t="s">
        <v>16</v>
      </c>
      <c r="D18" t="s">
        <v>12</v>
      </c>
      <c r="E18">
        <v>750</v>
      </c>
      <c r="F18" t="s">
        <v>17</v>
      </c>
    </row>
    <row r="19" spans="1:19" x14ac:dyDescent="0.55000000000000004">
      <c r="A19" s="9"/>
      <c r="B19" s="9"/>
      <c r="C19" s="4" t="s">
        <v>32</v>
      </c>
      <c r="D19" t="s">
        <v>12</v>
      </c>
      <c r="E19">
        <v>750</v>
      </c>
      <c r="F19" t="s">
        <v>17</v>
      </c>
    </row>
    <row r="20" spans="1:19" x14ac:dyDescent="0.55000000000000004">
      <c r="A20" s="8" t="s">
        <v>33</v>
      </c>
      <c r="B20" s="11" t="s">
        <v>34</v>
      </c>
      <c r="C20" t="s">
        <v>16</v>
      </c>
      <c r="D20" t="s">
        <v>12</v>
      </c>
      <c r="E20">
        <v>100</v>
      </c>
      <c r="F20" t="s">
        <v>17</v>
      </c>
    </row>
    <row r="21" spans="1:19" x14ac:dyDescent="0.55000000000000004">
      <c r="A21" s="9"/>
      <c r="B21" s="9"/>
      <c r="C21" t="s">
        <v>20</v>
      </c>
      <c r="D21" t="s">
        <v>12</v>
      </c>
      <c r="E21">
        <v>100</v>
      </c>
      <c r="F21" t="s">
        <v>17</v>
      </c>
    </row>
    <row r="22" spans="1:19" x14ac:dyDescent="0.55000000000000004">
      <c r="A22" s="8" t="s">
        <v>35</v>
      </c>
      <c r="B22" s="8" t="s">
        <v>36</v>
      </c>
      <c r="C22" s="4" t="s">
        <v>37</v>
      </c>
      <c r="D22" t="s">
        <v>12</v>
      </c>
      <c r="E22">
        <v>100</v>
      </c>
      <c r="F22" t="s">
        <v>17</v>
      </c>
    </row>
    <row r="23" spans="1:19" x14ac:dyDescent="0.55000000000000004">
      <c r="A23" s="9"/>
      <c r="B23" s="9"/>
      <c r="C23" t="s">
        <v>18</v>
      </c>
      <c r="D23" t="s">
        <v>12</v>
      </c>
      <c r="E23">
        <v>100</v>
      </c>
      <c r="F23" t="s">
        <v>17</v>
      </c>
      <c r="H23" t="s">
        <v>38</v>
      </c>
      <c r="J23" t="s">
        <v>39</v>
      </c>
    </row>
    <row r="24" spans="1:19" x14ac:dyDescent="0.55000000000000004">
      <c r="A24" s="8" t="s">
        <v>40</v>
      </c>
      <c r="B24" s="8" t="s">
        <v>41</v>
      </c>
      <c r="C24" s="4" t="s">
        <v>42</v>
      </c>
      <c r="D24" t="s">
        <v>12</v>
      </c>
      <c r="E24">
        <v>300</v>
      </c>
      <c r="F24" t="s">
        <v>17</v>
      </c>
    </row>
    <row r="25" spans="1:19" x14ac:dyDescent="0.55000000000000004">
      <c r="A25" s="9"/>
      <c r="B25" s="9"/>
      <c r="C25" s="4" t="s">
        <v>43</v>
      </c>
      <c r="D25" t="s">
        <v>12</v>
      </c>
      <c r="E25">
        <v>300</v>
      </c>
      <c r="F25" t="s">
        <v>17</v>
      </c>
    </row>
    <row r="26" spans="1:19" x14ac:dyDescent="0.55000000000000004">
      <c r="A26" s="1" t="s">
        <v>44</v>
      </c>
      <c r="B26" s="1" t="s">
        <v>45</v>
      </c>
      <c r="C26" s="4" t="s">
        <v>46</v>
      </c>
      <c r="D26" t="s">
        <v>47</v>
      </c>
      <c r="E26">
        <v>100</v>
      </c>
      <c r="F26" t="s">
        <v>17</v>
      </c>
      <c r="Q26" t="s">
        <v>38</v>
      </c>
      <c r="S26" t="s">
        <v>48</v>
      </c>
    </row>
    <row r="27" spans="1:19" x14ac:dyDescent="0.55000000000000004">
      <c r="A27" s="1" t="s">
        <v>49</v>
      </c>
      <c r="B27" s="1" t="s">
        <v>50</v>
      </c>
      <c r="C27" s="4" t="s">
        <v>51</v>
      </c>
      <c r="D27" t="s">
        <v>12</v>
      </c>
      <c r="E27">
        <v>100</v>
      </c>
      <c r="F27" t="s">
        <v>17</v>
      </c>
    </row>
    <row r="28" spans="1:19" x14ac:dyDescent="0.55000000000000004">
      <c r="A28" s="8" t="s">
        <v>52</v>
      </c>
      <c r="B28" s="8" t="s">
        <v>53</v>
      </c>
      <c r="C28" s="4" t="s">
        <v>54</v>
      </c>
      <c r="D28" t="s">
        <v>12</v>
      </c>
      <c r="E28">
        <v>1161</v>
      </c>
      <c r="F28" t="s">
        <v>17</v>
      </c>
    </row>
    <row r="29" spans="1:19" x14ac:dyDescent="0.55000000000000004">
      <c r="A29" s="9"/>
      <c r="B29" s="9"/>
      <c r="C29" t="s">
        <v>32</v>
      </c>
      <c r="D29" t="s">
        <v>12</v>
      </c>
      <c r="E29">
        <v>1161</v>
      </c>
      <c r="F29" t="s">
        <v>17</v>
      </c>
    </row>
    <row r="30" spans="1:19" x14ac:dyDescent="0.55000000000000004">
      <c r="A30" s="8" t="s">
        <v>55</v>
      </c>
      <c r="B30" s="8" t="s">
        <v>56</v>
      </c>
      <c r="C30" s="4" t="s">
        <v>57</v>
      </c>
      <c r="D30" t="s">
        <v>12</v>
      </c>
      <c r="E30">
        <v>464.6</v>
      </c>
      <c r="F30" t="s">
        <v>17</v>
      </c>
    </row>
    <row r="31" spans="1:19" x14ac:dyDescent="0.55000000000000004">
      <c r="A31" s="9"/>
      <c r="B31" s="9"/>
      <c r="C31" s="4" t="s">
        <v>58</v>
      </c>
      <c r="D31" t="s">
        <v>12</v>
      </c>
      <c r="E31">
        <v>464.6</v>
      </c>
      <c r="F31" t="s">
        <v>17</v>
      </c>
    </row>
    <row r="32" spans="1:19" x14ac:dyDescent="0.55000000000000004">
      <c r="A32" s="9"/>
      <c r="B32" s="9"/>
      <c r="C32" t="s">
        <v>19</v>
      </c>
      <c r="D32" t="s">
        <v>12</v>
      </c>
      <c r="E32">
        <v>232.3</v>
      </c>
      <c r="F32" t="s">
        <v>17</v>
      </c>
    </row>
    <row r="33" spans="1:6" x14ac:dyDescent="0.55000000000000004">
      <c r="A33" s="9"/>
      <c r="B33" s="9"/>
      <c r="C33" t="s">
        <v>21</v>
      </c>
      <c r="D33" t="s">
        <v>12</v>
      </c>
      <c r="E33">
        <v>232.3</v>
      </c>
      <c r="F33" t="s">
        <v>17</v>
      </c>
    </row>
    <row r="34" spans="1:6" x14ac:dyDescent="0.55000000000000004">
      <c r="A34" s="8" t="s">
        <v>59</v>
      </c>
      <c r="B34" s="11" t="s">
        <v>60</v>
      </c>
      <c r="C34" t="s">
        <v>16</v>
      </c>
      <c r="D34" t="s">
        <v>12</v>
      </c>
      <c r="E34">
        <v>60</v>
      </c>
      <c r="F34" t="s">
        <v>17</v>
      </c>
    </row>
    <row r="35" spans="1:6" x14ac:dyDescent="0.55000000000000004">
      <c r="A35" s="9"/>
      <c r="B35" s="9"/>
      <c r="C35" t="s">
        <v>37</v>
      </c>
      <c r="D35" t="s">
        <v>12</v>
      </c>
      <c r="E35">
        <v>45</v>
      </c>
      <c r="F35" t="s">
        <v>17</v>
      </c>
    </row>
    <row r="36" spans="1:6" x14ac:dyDescent="0.55000000000000004">
      <c r="A36" s="9"/>
      <c r="B36" s="9"/>
      <c r="C36" t="s">
        <v>19</v>
      </c>
      <c r="D36" t="s">
        <v>12</v>
      </c>
      <c r="E36">
        <v>180</v>
      </c>
      <c r="F36" t="s">
        <v>17</v>
      </c>
    </row>
    <row r="37" spans="1:6" x14ac:dyDescent="0.55000000000000004">
      <c r="A37" s="9"/>
      <c r="B37" s="9"/>
      <c r="C37" t="s">
        <v>22</v>
      </c>
      <c r="D37" t="s">
        <v>12</v>
      </c>
      <c r="E37">
        <v>15</v>
      </c>
      <c r="F37" t="s">
        <v>17</v>
      </c>
    </row>
    <row r="38" spans="1:6" x14ac:dyDescent="0.55000000000000004">
      <c r="A38" s="9"/>
      <c r="B38" s="9"/>
      <c r="C38" t="s">
        <v>23</v>
      </c>
      <c r="D38" t="s">
        <v>12</v>
      </c>
      <c r="E38">
        <v>45</v>
      </c>
      <c r="F38" t="s">
        <v>17</v>
      </c>
    </row>
    <row r="39" spans="1:6" x14ac:dyDescent="0.55000000000000004">
      <c r="A39" s="8" t="s">
        <v>61</v>
      </c>
      <c r="B39" s="11" t="s">
        <v>62</v>
      </c>
      <c r="C39" s="4" t="s">
        <v>63</v>
      </c>
      <c r="D39" t="s">
        <v>12</v>
      </c>
      <c r="E39">
        <v>600</v>
      </c>
      <c r="F39" t="s">
        <v>17</v>
      </c>
    </row>
    <row r="40" spans="1:6" x14ac:dyDescent="0.55000000000000004">
      <c r="A40" s="9"/>
      <c r="B40" s="9"/>
      <c r="C40" s="4" t="s">
        <v>64</v>
      </c>
      <c r="D40" t="s">
        <v>47</v>
      </c>
      <c r="E40">
        <v>7</v>
      </c>
      <c r="F40" t="s">
        <v>17</v>
      </c>
    </row>
    <row r="41" spans="1:6" x14ac:dyDescent="0.55000000000000004">
      <c r="A41" s="9"/>
      <c r="B41" s="9"/>
      <c r="C41" t="s">
        <v>19</v>
      </c>
      <c r="D41" t="s">
        <v>12</v>
      </c>
      <c r="E41">
        <v>1300</v>
      </c>
      <c r="F41" t="s">
        <v>17</v>
      </c>
    </row>
    <row r="42" spans="1:6" x14ac:dyDescent="0.55000000000000004">
      <c r="A42" s="9"/>
      <c r="B42" s="9"/>
      <c r="C42" t="s">
        <v>54</v>
      </c>
      <c r="D42" t="s">
        <v>12</v>
      </c>
      <c r="E42">
        <v>405</v>
      </c>
      <c r="F42" t="s">
        <v>17</v>
      </c>
    </row>
    <row r="43" spans="1:6" x14ac:dyDescent="0.55000000000000004">
      <c r="A43" s="9"/>
      <c r="B43" s="9"/>
      <c r="C43" t="s">
        <v>21</v>
      </c>
      <c r="D43" t="s">
        <v>12</v>
      </c>
      <c r="E43">
        <v>400</v>
      </c>
      <c r="F43" t="s">
        <v>17</v>
      </c>
    </row>
    <row r="44" spans="1:6" x14ac:dyDescent="0.55000000000000004">
      <c r="A44" s="9"/>
      <c r="B44" s="9"/>
      <c r="C44" t="s">
        <v>32</v>
      </c>
      <c r="D44" t="s">
        <v>12</v>
      </c>
      <c r="E44">
        <v>405</v>
      </c>
      <c r="F44" t="s">
        <v>17</v>
      </c>
    </row>
    <row r="45" spans="1:6" x14ac:dyDescent="0.55000000000000004">
      <c r="A45" s="8" t="s">
        <v>65</v>
      </c>
      <c r="B45" s="11" t="s">
        <v>66</v>
      </c>
      <c r="C45" t="s">
        <v>19</v>
      </c>
      <c r="D45" t="s">
        <v>12</v>
      </c>
      <c r="E45">
        <v>1000</v>
      </c>
      <c r="F45" t="s">
        <v>17</v>
      </c>
    </row>
    <row r="46" spans="1:6" x14ac:dyDescent="0.55000000000000004">
      <c r="A46" s="9"/>
      <c r="B46" s="9"/>
      <c r="C46" t="s">
        <v>54</v>
      </c>
      <c r="D46" t="s">
        <v>12</v>
      </c>
      <c r="E46">
        <v>1500</v>
      </c>
      <c r="F46" t="s">
        <v>17</v>
      </c>
    </row>
    <row r="47" spans="1:6" x14ac:dyDescent="0.55000000000000004">
      <c r="A47" s="9"/>
      <c r="B47" s="9"/>
      <c r="C47" t="s">
        <v>21</v>
      </c>
      <c r="D47" t="s">
        <v>12</v>
      </c>
      <c r="E47">
        <v>1000</v>
      </c>
      <c r="F47" t="s">
        <v>17</v>
      </c>
    </row>
    <row r="48" spans="1:6" x14ac:dyDescent="0.55000000000000004">
      <c r="A48" s="9"/>
      <c r="B48" s="9"/>
      <c r="C48" t="s">
        <v>32</v>
      </c>
      <c r="D48" t="s">
        <v>12</v>
      </c>
      <c r="E48">
        <v>1500</v>
      </c>
      <c r="F48" t="s">
        <v>17</v>
      </c>
    </row>
    <row r="49" spans="1:6" x14ac:dyDescent="0.55000000000000004">
      <c r="A49" s="8" t="s">
        <v>67</v>
      </c>
      <c r="B49" s="8" t="s">
        <v>68</v>
      </c>
      <c r="C49" t="s">
        <v>54</v>
      </c>
      <c r="D49" t="s">
        <v>12</v>
      </c>
      <c r="E49">
        <v>511</v>
      </c>
      <c r="F49" t="s">
        <v>17</v>
      </c>
    </row>
    <row r="50" spans="1:6" x14ac:dyDescent="0.55000000000000004">
      <c r="A50" s="9"/>
      <c r="B50" s="9"/>
      <c r="C50" t="s">
        <v>32</v>
      </c>
      <c r="D50" t="s">
        <v>12</v>
      </c>
      <c r="E50">
        <v>511</v>
      </c>
      <c r="F50" t="s">
        <v>17</v>
      </c>
    </row>
    <row r="51" spans="1:6" x14ac:dyDescent="0.55000000000000004">
      <c r="A51" s="9"/>
      <c r="B51" s="9"/>
      <c r="C51" s="4" t="s">
        <v>69</v>
      </c>
      <c r="D51" t="s">
        <v>12</v>
      </c>
      <c r="E51">
        <v>29</v>
      </c>
      <c r="F51" t="s">
        <v>70</v>
      </c>
    </row>
    <row r="52" spans="1:6" x14ac:dyDescent="0.55000000000000004">
      <c r="A52" s="8" t="s">
        <v>71</v>
      </c>
      <c r="B52" s="8" t="s">
        <v>72</v>
      </c>
      <c r="C52" t="s">
        <v>21</v>
      </c>
      <c r="D52" t="s">
        <v>12</v>
      </c>
      <c r="E52">
        <v>2250</v>
      </c>
      <c r="F52" t="s">
        <v>17</v>
      </c>
    </row>
    <row r="53" spans="1:6" x14ac:dyDescent="0.55000000000000004">
      <c r="A53" s="9"/>
      <c r="B53" s="9"/>
      <c r="C53" s="4" t="s">
        <v>73</v>
      </c>
      <c r="D53" t="s">
        <v>12</v>
      </c>
      <c r="E53">
        <v>2250</v>
      </c>
      <c r="F53" t="s">
        <v>17</v>
      </c>
    </row>
    <row r="54" spans="1:6" x14ac:dyDescent="0.55000000000000004">
      <c r="A54" s="1" t="s">
        <v>74</v>
      </c>
      <c r="B54" s="1" t="s">
        <v>75</v>
      </c>
      <c r="C54" s="4" t="s">
        <v>76</v>
      </c>
      <c r="D54" t="s">
        <v>47</v>
      </c>
      <c r="E54">
        <v>2.2999999999999998</v>
      </c>
      <c r="F54" t="s">
        <v>77</v>
      </c>
    </row>
    <row r="55" spans="1:6" x14ac:dyDescent="0.55000000000000004">
      <c r="A55" s="6" t="s">
        <v>78</v>
      </c>
      <c r="B55" s="12" t="s">
        <v>79</v>
      </c>
      <c r="C55" s="9"/>
      <c r="D55" s="6" t="s">
        <v>12</v>
      </c>
      <c r="E55" s="6">
        <v>1</v>
      </c>
      <c r="F55" s="6" t="s">
        <v>13</v>
      </c>
    </row>
    <row r="56" spans="1:6" x14ac:dyDescent="0.55000000000000004">
      <c r="A56" s="8" t="s">
        <v>80</v>
      </c>
      <c r="B56" s="8" t="s">
        <v>81</v>
      </c>
      <c r="C56" t="s">
        <v>16</v>
      </c>
      <c r="D56" t="s">
        <v>12</v>
      </c>
      <c r="E56">
        <v>27</v>
      </c>
      <c r="F56" t="s">
        <v>17</v>
      </c>
    </row>
    <row r="57" spans="1:6" x14ac:dyDescent="0.55000000000000004">
      <c r="A57" s="9"/>
      <c r="B57" s="9"/>
      <c r="C57" t="s">
        <v>20</v>
      </c>
      <c r="D57" t="s">
        <v>12</v>
      </c>
      <c r="E57">
        <v>27</v>
      </c>
      <c r="F57" t="s">
        <v>17</v>
      </c>
    </row>
    <row r="58" spans="1:6" x14ac:dyDescent="0.55000000000000004">
      <c r="A58" s="1" t="s">
        <v>82</v>
      </c>
      <c r="B58" s="2" t="s">
        <v>83</v>
      </c>
      <c r="C58" s="4" t="s">
        <v>84</v>
      </c>
      <c r="D58" t="s">
        <v>12</v>
      </c>
      <c r="E58">
        <v>528</v>
      </c>
      <c r="F58" t="s">
        <v>17</v>
      </c>
    </row>
    <row r="59" spans="1:6" x14ac:dyDescent="0.55000000000000004">
      <c r="A59" s="1" t="s">
        <v>85</v>
      </c>
      <c r="B59" s="2" t="s">
        <v>86</v>
      </c>
      <c r="C59" s="4" t="s">
        <v>87</v>
      </c>
      <c r="D59" t="s">
        <v>12</v>
      </c>
      <c r="E59">
        <v>16</v>
      </c>
      <c r="F59" t="s">
        <v>17</v>
      </c>
    </row>
    <row r="60" spans="1:6" x14ac:dyDescent="0.55000000000000004">
      <c r="A60" s="8" t="s">
        <v>88</v>
      </c>
      <c r="B60" s="8" t="s">
        <v>89</v>
      </c>
      <c r="C60" s="4" t="s">
        <v>90</v>
      </c>
      <c r="D60" t="s">
        <v>12</v>
      </c>
      <c r="E60">
        <v>4.5</v>
      </c>
      <c r="F60" t="s">
        <v>17</v>
      </c>
    </row>
    <row r="61" spans="1:6" x14ac:dyDescent="0.55000000000000004">
      <c r="A61" s="9"/>
      <c r="B61" s="9"/>
      <c r="C61" t="s">
        <v>91</v>
      </c>
      <c r="D61" t="s">
        <v>92</v>
      </c>
      <c r="E61">
        <v>0.8</v>
      </c>
      <c r="F61" t="s">
        <v>17</v>
      </c>
    </row>
    <row r="62" spans="1:6" x14ac:dyDescent="0.55000000000000004">
      <c r="A62" s="8" t="s">
        <v>93</v>
      </c>
      <c r="B62" s="8" t="s">
        <v>94</v>
      </c>
      <c r="C62" t="s">
        <v>90</v>
      </c>
      <c r="D62" t="s">
        <v>12</v>
      </c>
      <c r="E62">
        <v>4.5</v>
      </c>
      <c r="F62" t="s">
        <v>17</v>
      </c>
    </row>
    <row r="63" spans="1:6" x14ac:dyDescent="0.55000000000000004">
      <c r="A63" s="9"/>
      <c r="B63" s="9"/>
      <c r="C63" s="4" t="s">
        <v>95</v>
      </c>
      <c r="D63" t="s">
        <v>12</v>
      </c>
      <c r="E63">
        <v>7.4999999999999997E-2</v>
      </c>
      <c r="F63" t="s">
        <v>17</v>
      </c>
    </row>
    <row r="64" spans="1:6" x14ac:dyDescent="0.55000000000000004">
      <c r="A64" s="8" t="s">
        <v>96</v>
      </c>
      <c r="B64" s="8" t="s">
        <v>97</v>
      </c>
      <c r="C64" t="s">
        <v>37</v>
      </c>
      <c r="D64" t="s">
        <v>12</v>
      </c>
      <c r="E64">
        <v>4.5</v>
      </c>
      <c r="F64" t="s">
        <v>17</v>
      </c>
    </row>
    <row r="65" spans="1:6" x14ac:dyDescent="0.55000000000000004">
      <c r="A65" s="9"/>
      <c r="B65" s="9"/>
      <c r="C65" t="s">
        <v>18</v>
      </c>
      <c r="D65" t="s">
        <v>12</v>
      </c>
      <c r="E65">
        <v>4.5</v>
      </c>
      <c r="F65" t="s">
        <v>17</v>
      </c>
    </row>
    <row r="66" spans="1:6" x14ac:dyDescent="0.55000000000000004">
      <c r="A66" s="8" t="s">
        <v>98</v>
      </c>
      <c r="B66" s="8" t="s">
        <v>99</v>
      </c>
      <c r="C66" t="s">
        <v>54</v>
      </c>
      <c r="D66" t="s">
        <v>12</v>
      </c>
      <c r="E66">
        <v>100</v>
      </c>
      <c r="F66" t="s">
        <v>17</v>
      </c>
    </row>
    <row r="67" spans="1:6" x14ac:dyDescent="0.55000000000000004">
      <c r="A67" s="9"/>
      <c r="B67" s="9"/>
      <c r="C67" t="s">
        <v>32</v>
      </c>
      <c r="D67" t="s">
        <v>12</v>
      </c>
      <c r="E67">
        <v>100</v>
      </c>
      <c r="F67" t="s">
        <v>17</v>
      </c>
    </row>
    <row r="68" spans="1:6" x14ac:dyDescent="0.55000000000000004">
      <c r="A68" s="2" t="s">
        <v>100</v>
      </c>
      <c r="B68" s="1" t="s">
        <v>101</v>
      </c>
      <c r="C68" t="s">
        <v>102</v>
      </c>
      <c r="D68" t="s">
        <v>12</v>
      </c>
      <c r="E68">
        <v>4.8</v>
      </c>
      <c r="F68" t="s">
        <v>17</v>
      </c>
    </row>
    <row r="69" spans="1:6" x14ac:dyDescent="0.55000000000000004">
      <c r="A69" s="4"/>
      <c r="B69" s="10" t="s">
        <v>103</v>
      </c>
      <c r="C69" s="9"/>
      <c r="D69" s="4"/>
      <c r="E69" s="4"/>
      <c r="F69" s="4"/>
    </row>
    <row r="70" spans="1:6" x14ac:dyDescent="0.55000000000000004">
      <c r="B70" t="s">
        <v>104</v>
      </c>
      <c r="C70" t="s">
        <v>105</v>
      </c>
      <c r="D70" t="s">
        <v>12</v>
      </c>
      <c r="E70">
        <v>311672.3</v>
      </c>
      <c r="F70" t="s">
        <v>106</v>
      </c>
    </row>
    <row r="71" spans="1:6" x14ac:dyDescent="0.55000000000000004">
      <c r="B71" t="s">
        <v>107</v>
      </c>
      <c r="C71" t="s">
        <v>105</v>
      </c>
      <c r="D71" t="s">
        <v>12</v>
      </c>
      <c r="E71">
        <v>50000</v>
      </c>
      <c r="F71" t="s">
        <v>106</v>
      </c>
    </row>
  </sheetData>
  <mergeCells count="39">
    <mergeCell ref="B8:B14"/>
    <mergeCell ref="A64:A65"/>
    <mergeCell ref="B16:B17"/>
    <mergeCell ref="B45:B48"/>
    <mergeCell ref="B20:B21"/>
    <mergeCell ref="A62:A63"/>
    <mergeCell ref="B55:C55"/>
    <mergeCell ref="A52:A53"/>
    <mergeCell ref="B22:B23"/>
    <mergeCell ref="A28:A29"/>
    <mergeCell ref="B56:B57"/>
    <mergeCell ref="B69:C69"/>
    <mergeCell ref="A34:A38"/>
    <mergeCell ref="A22:A23"/>
    <mergeCell ref="B64:B65"/>
    <mergeCell ref="B30:B33"/>
    <mergeCell ref="B66:B67"/>
    <mergeCell ref="A66:A67"/>
    <mergeCell ref="A56:A57"/>
    <mergeCell ref="B39:B44"/>
    <mergeCell ref="B60:B61"/>
    <mergeCell ref="B28:B29"/>
    <mergeCell ref="A49:A51"/>
    <mergeCell ref="A24:A25"/>
    <mergeCell ref="B62:B63"/>
    <mergeCell ref="B7:C7"/>
    <mergeCell ref="B49:B51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18:A19"/>
    <mergeCell ref="B24:B25"/>
    <mergeCell ref="A20:A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11</v>
      </c>
    </row>
    <row r="2" spans="1:14" x14ac:dyDescent="0.55000000000000004">
      <c r="A2" s="3" t="s">
        <v>109</v>
      </c>
      <c r="B2" t="s">
        <v>110</v>
      </c>
    </row>
    <row r="3" spans="1:14" x14ac:dyDescent="0.55000000000000004">
      <c r="A3" t="s">
        <v>111</v>
      </c>
      <c r="B3" t="s">
        <v>112</v>
      </c>
    </row>
    <row r="6" spans="1:14" x14ac:dyDescent="0.55000000000000004">
      <c r="A6" s="3" t="s">
        <v>113</v>
      </c>
      <c r="B6" s="3" t="s">
        <v>114</v>
      </c>
    </row>
    <row r="7" spans="1:14" x14ac:dyDescent="0.55000000000000004">
      <c r="A7" t="s">
        <v>115</v>
      </c>
      <c r="B7" t="s">
        <v>14</v>
      </c>
    </row>
    <row r="8" spans="1:14" x14ac:dyDescent="0.55000000000000004">
      <c r="A8" t="s">
        <v>116</v>
      </c>
      <c r="B8" t="s">
        <v>12</v>
      </c>
    </row>
    <row r="9" spans="1:14" x14ac:dyDescent="0.55000000000000004">
      <c r="A9" t="s">
        <v>117</v>
      </c>
      <c r="B9">
        <v>1</v>
      </c>
    </row>
    <row r="10" spans="1:14" x14ac:dyDescent="0.55000000000000004">
      <c r="A10" t="s">
        <v>118</v>
      </c>
      <c r="B10" t="s">
        <v>119</v>
      </c>
    </row>
    <row r="11" spans="1:14" x14ac:dyDescent="0.55000000000000004">
      <c r="A11" t="s">
        <v>13</v>
      </c>
      <c r="B11" t="s">
        <v>13</v>
      </c>
    </row>
    <row r="12" spans="1:14" x14ac:dyDescent="0.55000000000000004">
      <c r="A12" t="s">
        <v>120</v>
      </c>
      <c r="B12" t="s">
        <v>121</v>
      </c>
    </row>
    <row r="13" spans="1:14" x14ac:dyDescent="0.55000000000000004">
      <c r="A13" s="3" t="s">
        <v>122</v>
      </c>
    </row>
    <row r="14" spans="1:14" x14ac:dyDescent="0.55000000000000004">
      <c r="A14" s="3" t="s">
        <v>123</v>
      </c>
      <c r="B14" s="3" t="s">
        <v>117</v>
      </c>
      <c r="C14" s="3" t="s">
        <v>13</v>
      </c>
      <c r="D14" s="3" t="s">
        <v>124</v>
      </c>
      <c r="E14" s="3" t="s">
        <v>125</v>
      </c>
      <c r="F14" s="3" t="s">
        <v>116</v>
      </c>
      <c r="G14" s="3" t="s">
        <v>118</v>
      </c>
      <c r="H14" s="3" t="s">
        <v>120</v>
      </c>
      <c r="I14" s="3" t="s">
        <v>126</v>
      </c>
      <c r="J14" s="3" t="s">
        <v>127</v>
      </c>
      <c r="K14" s="3" t="s">
        <v>128</v>
      </c>
      <c r="L14" s="3" t="s">
        <v>129</v>
      </c>
      <c r="M14" s="3" t="s">
        <v>130</v>
      </c>
      <c r="N14" s="3" t="s">
        <v>131</v>
      </c>
    </row>
    <row r="15" spans="1:14" x14ac:dyDescent="0.55000000000000004">
      <c r="A15" t="s">
        <v>16</v>
      </c>
      <c r="B15">
        <v>100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135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18</v>
      </c>
      <c r="B16">
        <v>200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137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55000000000000004">
      <c r="A17" t="s">
        <v>19</v>
      </c>
      <c r="B17">
        <v>600</v>
      </c>
      <c r="C17" t="s">
        <v>17</v>
      </c>
      <c r="D17" t="s">
        <v>132</v>
      </c>
      <c r="E17" t="s">
        <v>133</v>
      </c>
      <c r="F17" t="s">
        <v>12</v>
      </c>
      <c r="G17" t="s">
        <v>134</v>
      </c>
      <c r="H17" t="s">
        <v>138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55000000000000004">
      <c r="A18" t="s">
        <v>20</v>
      </c>
      <c r="B18">
        <v>100</v>
      </c>
      <c r="C18" t="s">
        <v>17</v>
      </c>
      <c r="D18" t="s">
        <v>132</v>
      </c>
      <c r="E18" t="s">
        <v>133</v>
      </c>
      <c r="F18" t="s">
        <v>12</v>
      </c>
      <c r="G18" t="s">
        <v>134</v>
      </c>
      <c r="H18" t="s">
        <v>139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55000000000000004">
      <c r="A19" t="s">
        <v>21</v>
      </c>
      <c r="B19">
        <v>600</v>
      </c>
      <c r="C19" t="s">
        <v>17</v>
      </c>
      <c r="D19" t="s">
        <v>132</v>
      </c>
      <c r="E19" t="s">
        <v>133</v>
      </c>
      <c r="F19" t="s">
        <v>12</v>
      </c>
      <c r="G19" t="s">
        <v>134</v>
      </c>
      <c r="H19" t="s">
        <v>140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55000000000000004">
      <c r="A20" t="s">
        <v>22</v>
      </c>
      <c r="B20">
        <v>100</v>
      </c>
      <c r="C20" t="s">
        <v>17</v>
      </c>
      <c r="D20" t="s">
        <v>132</v>
      </c>
      <c r="E20" t="s">
        <v>133</v>
      </c>
      <c r="F20" t="s">
        <v>12</v>
      </c>
      <c r="G20" t="s">
        <v>134</v>
      </c>
      <c r="H20" t="s">
        <v>141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55000000000000004">
      <c r="A21" t="s">
        <v>23</v>
      </c>
      <c r="B21">
        <v>200</v>
      </c>
      <c r="C21" t="s">
        <v>17</v>
      </c>
      <c r="D21" t="s">
        <v>132</v>
      </c>
      <c r="E21" t="s">
        <v>133</v>
      </c>
      <c r="F21" t="s">
        <v>12</v>
      </c>
      <c r="G21" t="s">
        <v>134</v>
      </c>
      <c r="H21" t="s">
        <v>142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143</v>
      </c>
    </row>
    <row r="4" spans="1:14" x14ac:dyDescent="0.55000000000000004">
      <c r="A4" t="s">
        <v>115</v>
      </c>
      <c r="B4" t="s">
        <v>24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144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26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146</v>
      </c>
    </row>
    <row r="4" spans="1:14" x14ac:dyDescent="0.55000000000000004">
      <c r="A4" t="s">
        <v>115</v>
      </c>
      <c r="B4" t="s">
        <v>27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147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29</v>
      </c>
      <c r="B12">
        <v>900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21</v>
      </c>
      <c r="B13">
        <v>900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140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workbookViewId="0"/>
  </sheetViews>
  <sheetFormatPr defaultColWidth="8.83984375" defaultRowHeight="14.4" x14ac:dyDescent="0.55000000000000004"/>
  <cols>
    <col min="1" max="1" width="38.47265625" bestFit="1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149</v>
      </c>
    </row>
    <row r="4" spans="1:14" x14ac:dyDescent="0.55000000000000004">
      <c r="A4" t="s">
        <v>115</v>
      </c>
      <c r="B4" t="s">
        <v>30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150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16</v>
      </c>
      <c r="B12">
        <v>750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32</v>
      </c>
      <c r="B13">
        <v>750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152</v>
      </c>
    </row>
    <row r="4" spans="1:14" x14ac:dyDescent="0.55000000000000004">
      <c r="A4" t="s">
        <v>115</v>
      </c>
      <c r="B4" t="s">
        <v>153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154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16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20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155</v>
      </c>
    </row>
    <row r="4" spans="1:14" x14ac:dyDescent="0.55000000000000004">
      <c r="A4" t="s">
        <v>115</v>
      </c>
      <c r="B4" t="s">
        <v>35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156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37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18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41</v>
      </c>
    </row>
    <row r="4" spans="1:14" x14ac:dyDescent="0.55000000000000004">
      <c r="A4" t="s">
        <v>115</v>
      </c>
      <c r="B4" t="s">
        <v>40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158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42</v>
      </c>
      <c r="B12">
        <v>300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43</v>
      </c>
      <c r="B13">
        <v>300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160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161</v>
      </c>
    </row>
    <row r="4" spans="1:14" x14ac:dyDescent="0.55000000000000004">
      <c r="A4" t="s">
        <v>115</v>
      </c>
      <c r="B4" t="s">
        <v>44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162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46</v>
      </c>
      <c r="B12">
        <v>100</v>
      </c>
      <c r="C12" t="s">
        <v>17</v>
      </c>
      <c r="D12" t="s">
        <v>132</v>
      </c>
      <c r="E12" t="s">
        <v>133</v>
      </c>
      <c r="F12" t="s">
        <v>47</v>
      </c>
      <c r="G12" t="s">
        <v>134</v>
      </c>
      <c r="H12" t="s">
        <v>163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164</v>
      </c>
    </row>
    <row r="4" spans="1:14" x14ac:dyDescent="0.55000000000000004">
      <c r="A4" t="s">
        <v>115</v>
      </c>
      <c r="B4" t="s">
        <v>49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165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51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166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167</v>
      </c>
    </row>
    <row r="4" spans="1:14" x14ac:dyDescent="0.55000000000000004">
      <c r="A4" t="s">
        <v>115</v>
      </c>
      <c r="B4" t="s">
        <v>52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168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54</v>
      </c>
      <c r="B12">
        <v>1161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32</v>
      </c>
      <c r="B13">
        <v>1161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170</v>
      </c>
    </row>
    <row r="4" spans="1:14" x14ac:dyDescent="0.55000000000000004">
      <c r="A4" t="s">
        <v>115</v>
      </c>
      <c r="B4" t="s">
        <v>55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171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57</v>
      </c>
      <c r="B12">
        <v>464.6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172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58</v>
      </c>
      <c r="B13">
        <v>464.6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173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19</v>
      </c>
      <c r="B14">
        <v>232.3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21</v>
      </c>
      <c r="B15">
        <v>232.3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140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6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ht="14.5" customHeight="1" x14ac:dyDescent="0.55000000000000004">
      <c r="A3" s="3" t="s">
        <v>113</v>
      </c>
      <c r="B3" s="3" t="s">
        <v>174</v>
      </c>
    </row>
    <row r="4" spans="1:14" x14ac:dyDescent="0.55000000000000004">
      <c r="A4" t="s">
        <v>115</v>
      </c>
      <c r="B4" t="s">
        <v>59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175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16</v>
      </c>
      <c r="B12">
        <v>60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37</v>
      </c>
      <c r="B13">
        <v>45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19</v>
      </c>
      <c r="B14">
        <v>180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22</v>
      </c>
      <c r="B15">
        <v>15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141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23</v>
      </c>
      <c r="B16">
        <v>45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142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7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176</v>
      </c>
    </row>
    <row r="4" spans="1:14" x14ac:dyDescent="0.55000000000000004">
      <c r="A4" t="s">
        <v>115</v>
      </c>
      <c r="B4" t="s">
        <v>61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177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63</v>
      </c>
      <c r="B12">
        <v>600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178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64</v>
      </c>
      <c r="B13">
        <v>7</v>
      </c>
      <c r="C13" t="s">
        <v>17</v>
      </c>
      <c r="D13" t="s">
        <v>132</v>
      </c>
      <c r="E13" t="s">
        <v>133</v>
      </c>
      <c r="F13" t="s">
        <v>47</v>
      </c>
      <c r="G13" t="s">
        <v>134</v>
      </c>
      <c r="H13" t="s">
        <v>179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19</v>
      </c>
      <c r="B14">
        <v>1300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138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54</v>
      </c>
      <c r="B15">
        <v>405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169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21</v>
      </c>
      <c r="B16">
        <v>400</v>
      </c>
      <c r="C16" t="s">
        <v>17</v>
      </c>
      <c r="D16" t="s">
        <v>132</v>
      </c>
      <c r="E16" t="s">
        <v>133</v>
      </c>
      <c r="F16" t="s">
        <v>12</v>
      </c>
      <c r="G16" t="s">
        <v>134</v>
      </c>
      <c r="H16" t="s">
        <v>140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55000000000000004">
      <c r="A17" t="s">
        <v>32</v>
      </c>
      <c r="B17">
        <v>405</v>
      </c>
      <c r="C17" t="s">
        <v>17</v>
      </c>
      <c r="D17" t="s">
        <v>132</v>
      </c>
      <c r="E17" t="s">
        <v>133</v>
      </c>
      <c r="F17" t="s">
        <v>12</v>
      </c>
      <c r="G17" t="s">
        <v>134</v>
      </c>
      <c r="H17" t="s">
        <v>151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5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180</v>
      </c>
    </row>
    <row r="4" spans="1:14" x14ac:dyDescent="0.55000000000000004">
      <c r="A4" t="s">
        <v>115</v>
      </c>
      <c r="B4" t="s">
        <v>65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181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19</v>
      </c>
      <c r="B12">
        <v>1000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138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54</v>
      </c>
      <c r="B13">
        <v>1500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169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21</v>
      </c>
      <c r="B14">
        <v>1000</v>
      </c>
      <c r="C14" t="s">
        <v>17</v>
      </c>
      <c r="D14" t="s">
        <v>132</v>
      </c>
      <c r="E14" t="s">
        <v>133</v>
      </c>
      <c r="F14" t="s">
        <v>12</v>
      </c>
      <c r="G14" t="s">
        <v>134</v>
      </c>
      <c r="H14" t="s">
        <v>140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32</v>
      </c>
      <c r="B15">
        <v>1500</v>
      </c>
      <c r="C15" t="s">
        <v>17</v>
      </c>
      <c r="D15" t="s">
        <v>132</v>
      </c>
      <c r="E15" t="s">
        <v>133</v>
      </c>
      <c r="F15" t="s">
        <v>12</v>
      </c>
      <c r="G15" t="s">
        <v>134</v>
      </c>
      <c r="H15" t="s">
        <v>151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4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68</v>
      </c>
    </row>
    <row r="4" spans="1:14" x14ac:dyDescent="0.55000000000000004">
      <c r="A4" t="s">
        <v>115</v>
      </c>
      <c r="B4" t="s">
        <v>67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182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54</v>
      </c>
      <c r="B12">
        <v>511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32</v>
      </c>
      <c r="B13">
        <v>511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69</v>
      </c>
      <c r="B14">
        <v>29</v>
      </c>
      <c r="C14" t="s">
        <v>70</v>
      </c>
      <c r="D14" t="s">
        <v>132</v>
      </c>
      <c r="E14" t="s">
        <v>133</v>
      </c>
      <c r="F14" t="s">
        <v>12</v>
      </c>
      <c r="G14" t="s">
        <v>134</v>
      </c>
      <c r="H14" t="s">
        <v>183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72</v>
      </c>
    </row>
    <row r="4" spans="1:14" x14ac:dyDescent="0.55000000000000004">
      <c r="A4" t="s">
        <v>115</v>
      </c>
      <c r="B4" t="s">
        <v>71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184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21</v>
      </c>
      <c r="B12">
        <v>2250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140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73</v>
      </c>
      <c r="B13">
        <v>2250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185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75</v>
      </c>
    </row>
    <row r="4" spans="1:14" x14ac:dyDescent="0.55000000000000004">
      <c r="A4" t="s">
        <v>115</v>
      </c>
      <c r="B4" t="s">
        <v>74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186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76</v>
      </c>
      <c r="B12">
        <v>2.2999999999999998</v>
      </c>
      <c r="C12" t="s">
        <v>77</v>
      </c>
      <c r="D12" t="s">
        <v>132</v>
      </c>
      <c r="E12" t="s">
        <v>133</v>
      </c>
      <c r="F12" t="s">
        <v>47</v>
      </c>
      <c r="G12" t="s">
        <v>134</v>
      </c>
      <c r="H12" t="s">
        <v>187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29"/>
  <sheetViews>
    <sheetView topLeftCell="A2" workbookViewId="0">
      <selection activeCell="A29" sqref="A29:N29"/>
    </sheetView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188</v>
      </c>
    </row>
    <row r="4" spans="1:14" x14ac:dyDescent="0.55000000000000004">
      <c r="A4" t="s">
        <v>115</v>
      </c>
      <c r="B4" t="s">
        <v>10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189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114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121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143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144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146</v>
      </c>
      <c r="B14">
        <v>1</v>
      </c>
      <c r="C14" t="s">
        <v>13</v>
      </c>
      <c r="D14" t="s">
        <v>110</v>
      </c>
      <c r="E14" t="s">
        <v>133</v>
      </c>
      <c r="F14" t="s">
        <v>12</v>
      </c>
      <c r="G14" t="s">
        <v>134</v>
      </c>
      <c r="H14" t="s">
        <v>147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149</v>
      </c>
      <c r="B15">
        <v>1</v>
      </c>
      <c r="C15" t="s">
        <v>13</v>
      </c>
      <c r="D15" t="s">
        <v>110</v>
      </c>
      <c r="E15" t="s">
        <v>133</v>
      </c>
      <c r="F15" t="s">
        <v>12</v>
      </c>
      <c r="G15" t="s">
        <v>134</v>
      </c>
      <c r="H15" t="s">
        <v>150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152</v>
      </c>
      <c r="B16">
        <v>1</v>
      </c>
      <c r="C16" t="s">
        <v>13</v>
      </c>
      <c r="D16" t="s">
        <v>110</v>
      </c>
      <c r="E16" t="s">
        <v>133</v>
      </c>
      <c r="F16" t="s">
        <v>12</v>
      </c>
      <c r="G16" t="s">
        <v>134</v>
      </c>
      <c r="H16" t="s">
        <v>154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55000000000000004">
      <c r="A17" t="s">
        <v>155</v>
      </c>
      <c r="B17">
        <v>1</v>
      </c>
      <c r="C17" t="s">
        <v>13</v>
      </c>
      <c r="D17" t="s">
        <v>110</v>
      </c>
      <c r="E17" t="s">
        <v>133</v>
      </c>
      <c r="F17" t="s">
        <v>12</v>
      </c>
      <c r="G17" t="s">
        <v>134</v>
      </c>
      <c r="H17" t="s">
        <v>156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55000000000000004">
      <c r="A18" t="s">
        <v>41</v>
      </c>
      <c r="B18">
        <v>1</v>
      </c>
      <c r="C18" t="s">
        <v>13</v>
      </c>
      <c r="D18" t="s">
        <v>110</v>
      </c>
      <c r="E18" t="s">
        <v>133</v>
      </c>
      <c r="F18" t="s">
        <v>12</v>
      </c>
      <c r="G18" t="s">
        <v>134</v>
      </c>
      <c r="H18" t="s">
        <v>158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55000000000000004">
      <c r="A19" t="s">
        <v>161</v>
      </c>
      <c r="B19">
        <v>1</v>
      </c>
      <c r="C19" t="s">
        <v>13</v>
      </c>
      <c r="D19" t="s">
        <v>110</v>
      </c>
      <c r="E19" t="s">
        <v>133</v>
      </c>
      <c r="F19" t="s">
        <v>12</v>
      </c>
      <c r="G19" t="s">
        <v>134</v>
      </c>
      <c r="H19" t="s">
        <v>162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55000000000000004">
      <c r="A20" t="s">
        <v>164</v>
      </c>
      <c r="B20">
        <v>1</v>
      </c>
      <c r="C20" t="s">
        <v>13</v>
      </c>
      <c r="D20" t="s">
        <v>110</v>
      </c>
      <c r="E20" t="s">
        <v>133</v>
      </c>
      <c r="F20" t="s">
        <v>12</v>
      </c>
      <c r="G20" t="s">
        <v>134</v>
      </c>
      <c r="H20" t="s">
        <v>165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55000000000000004">
      <c r="A21" t="s">
        <v>167</v>
      </c>
      <c r="B21">
        <v>1</v>
      </c>
      <c r="C21" t="s">
        <v>13</v>
      </c>
      <c r="D21" t="s">
        <v>110</v>
      </c>
      <c r="E21" t="s">
        <v>133</v>
      </c>
      <c r="F21" t="s">
        <v>12</v>
      </c>
      <c r="G21" t="s">
        <v>134</v>
      </c>
      <c r="H21" t="s">
        <v>168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  <row r="22" spans="1:14" x14ac:dyDescent="0.55000000000000004">
      <c r="A22" t="s">
        <v>170</v>
      </c>
      <c r="B22">
        <v>1</v>
      </c>
      <c r="C22" t="s">
        <v>13</v>
      </c>
      <c r="D22" t="s">
        <v>110</v>
      </c>
      <c r="E22" t="s">
        <v>133</v>
      </c>
      <c r="F22" t="s">
        <v>12</v>
      </c>
      <c r="G22" t="s">
        <v>134</v>
      </c>
      <c r="H22" t="s">
        <v>171</v>
      </c>
      <c r="I22">
        <v>0</v>
      </c>
      <c r="J22">
        <v>0.33</v>
      </c>
      <c r="K22" t="s">
        <v>136</v>
      </c>
      <c r="L22" t="s">
        <v>136</v>
      </c>
      <c r="M22" t="s">
        <v>136</v>
      </c>
      <c r="N22" t="s">
        <v>136</v>
      </c>
    </row>
    <row r="23" spans="1:14" x14ac:dyDescent="0.55000000000000004">
      <c r="A23" t="s">
        <v>174</v>
      </c>
      <c r="B23">
        <v>1</v>
      </c>
      <c r="C23" t="s">
        <v>13</v>
      </c>
      <c r="D23" t="s">
        <v>110</v>
      </c>
      <c r="E23" t="s">
        <v>133</v>
      </c>
      <c r="F23" t="s">
        <v>12</v>
      </c>
      <c r="G23" t="s">
        <v>134</v>
      </c>
      <c r="H23" t="s">
        <v>175</v>
      </c>
      <c r="I23">
        <v>0</v>
      </c>
      <c r="J23">
        <v>0.33</v>
      </c>
      <c r="K23" t="s">
        <v>136</v>
      </c>
      <c r="L23" t="s">
        <v>136</v>
      </c>
      <c r="M23" t="s">
        <v>136</v>
      </c>
      <c r="N23" t="s">
        <v>136</v>
      </c>
    </row>
    <row r="24" spans="1:14" x14ac:dyDescent="0.55000000000000004">
      <c r="A24" t="s">
        <v>176</v>
      </c>
      <c r="B24">
        <v>1</v>
      </c>
      <c r="C24" t="s">
        <v>13</v>
      </c>
      <c r="D24" t="s">
        <v>110</v>
      </c>
      <c r="E24" t="s">
        <v>133</v>
      </c>
      <c r="F24" t="s">
        <v>12</v>
      </c>
      <c r="G24" t="s">
        <v>134</v>
      </c>
      <c r="H24" t="s">
        <v>177</v>
      </c>
      <c r="I24">
        <v>0</v>
      </c>
      <c r="J24">
        <v>0.33</v>
      </c>
      <c r="K24" t="s">
        <v>136</v>
      </c>
      <c r="L24" t="s">
        <v>136</v>
      </c>
      <c r="M24" t="s">
        <v>136</v>
      </c>
      <c r="N24" t="s">
        <v>136</v>
      </c>
    </row>
    <row r="25" spans="1:14" x14ac:dyDescent="0.55000000000000004">
      <c r="A25" t="s">
        <v>180</v>
      </c>
      <c r="B25">
        <v>1</v>
      </c>
      <c r="C25" t="s">
        <v>13</v>
      </c>
      <c r="D25" t="s">
        <v>110</v>
      </c>
      <c r="E25" t="s">
        <v>133</v>
      </c>
      <c r="F25" t="s">
        <v>12</v>
      </c>
      <c r="G25" t="s">
        <v>134</v>
      </c>
      <c r="H25" t="s">
        <v>181</v>
      </c>
      <c r="I25">
        <v>0</v>
      </c>
      <c r="J25">
        <v>0.33</v>
      </c>
      <c r="K25" t="s">
        <v>136</v>
      </c>
      <c r="L25" t="s">
        <v>136</v>
      </c>
      <c r="M25" t="s">
        <v>136</v>
      </c>
      <c r="N25" t="s">
        <v>136</v>
      </c>
    </row>
    <row r="26" spans="1:14" x14ac:dyDescent="0.55000000000000004">
      <c r="A26" t="s">
        <v>68</v>
      </c>
      <c r="B26">
        <v>1</v>
      </c>
      <c r="C26" t="s">
        <v>13</v>
      </c>
      <c r="D26" t="s">
        <v>110</v>
      </c>
      <c r="E26" t="s">
        <v>133</v>
      </c>
      <c r="F26" t="s">
        <v>12</v>
      </c>
      <c r="G26" t="s">
        <v>134</v>
      </c>
      <c r="H26" t="s">
        <v>182</v>
      </c>
      <c r="I26">
        <v>0</v>
      </c>
      <c r="J26">
        <v>0.33</v>
      </c>
      <c r="K26" t="s">
        <v>136</v>
      </c>
      <c r="L26" t="s">
        <v>136</v>
      </c>
      <c r="M26" t="s">
        <v>136</v>
      </c>
      <c r="N26" t="s">
        <v>136</v>
      </c>
    </row>
    <row r="27" spans="1:14" x14ac:dyDescent="0.55000000000000004">
      <c r="A27" t="s">
        <v>72</v>
      </c>
      <c r="B27">
        <v>1</v>
      </c>
      <c r="C27" t="s">
        <v>13</v>
      </c>
      <c r="D27" t="s">
        <v>110</v>
      </c>
      <c r="E27" t="s">
        <v>133</v>
      </c>
      <c r="F27" t="s">
        <v>12</v>
      </c>
      <c r="G27" t="s">
        <v>134</v>
      </c>
      <c r="H27" t="s">
        <v>184</v>
      </c>
      <c r="I27">
        <v>0</v>
      </c>
      <c r="J27">
        <v>0.33</v>
      </c>
      <c r="K27" t="s">
        <v>136</v>
      </c>
      <c r="L27" t="s">
        <v>136</v>
      </c>
      <c r="M27" t="s">
        <v>136</v>
      </c>
      <c r="N27" t="s">
        <v>136</v>
      </c>
    </row>
    <row r="28" spans="1:14" x14ac:dyDescent="0.55000000000000004">
      <c r="A28" t="s">
        <v>75</v>
      </c>
      <c r="B28">
        <v>1</v>
      </c>
      <c r="C28" t="s">
        <v>13</v>
      </c>
      <c r="D28" t="s">
        <v>110</v>
      </c>
      <c r="E28" t="s">
        <v>133</v>
      </c>
      <c r="F28" t="s">
        <v>12</v>
      </c>
      <c r="G28" t="s">
        <v>134</v>
      </c>
      <c r="H28" t="s">
        <v>186</v>
      </c>
      <c r="I28">
        <v>0</v>
      </c>
      <c r="J28">
        <v>0.33</v>
      </c>
      <c r="K28" t="s">
        <v>136</v>
      </c>
      <c r="L28" t="s">
        <v>136</v>
      </c>
      <c r="M28" t="s">
        <v>136</v>
      </c>
      <c r="N28" t="s">
        <v>136</v>
      </c>
    </row>
    <row r="29" spans="1:14" x14ac:dyDescent="0.55000000000000004">
      <c r="A29" t="s">
        <v>105</v>
      </c>
      <c r="B29">
        <v>50000</v>
      </c>
      <c r="C29" t="s">
        <v>106</v>
      </c>
      <c r="D29" t="s">
        <v>132</v>
      </c>
      <c r="E29" t="s">
        <v>190</v>
      </c>
      <c r="F29" t="s">
        <v>12</v>
      </c>
      <c r="G29" t="s">
        <v>134</v>
      </c>
      <c r="H29" t="s">
        <v>191</v>
      </c>
      <c r="I29">
        <v>0</v>
      </c>
      <c r="J29">
        <v>0.33</v>
      </c>
      <c r="K29" t="s">
        <v>136</v>
      </c>
      <c r="L29" t="s">
        <v>136</v>
      </c>
      <c r="M29" t="s">
        <v>136</v>
      </c>
      <c r="N29" t="s">
        <v>136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192</v>
      </c>
    </row>
    <row r="4" spans="1:14" x14ac:dyDescent="0.55000000000000004">
      <c r="A4" t="s">
        <v>115</v>
      </c>
      <c r="B4" t="s">
        <v>80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193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16</v>
      </c>
      <c r="B12">
        <v>27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135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20</v>
      </c>
      <c r="B13">
        <v>27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139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194</v>
      </c>
    </row>
    <row r="4" spans="1:14" x14ac:dyDescent="0.55000000000000004">
      <c r="A4" t="s">
        <v>115</v>
      </c>
      <c r="B4" t="s">
        <v>82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195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84</v>
      </c>
      <c r="B12">
        <v>528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196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12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197</v>
      </c>
    </row>
    <row r="4" spans="1:14" x14ac:dyDescent="0.55000000000000004">
      <c r="A4" t="s">
        <v>115</v>
      </c>
      <c r="B4" t="s">
        <v>85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198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87</v>
      </c>
      <c r="B12">
        <v>16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199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200</v>
      </c>
    </row>
    <row r="4" spans="1:14" x14ac:dyDescent="0.55000000000000004">
      <c r="A4" t="s">
        <v>115</v>
      </c>
      <c r="B4" t="s">
        <v>88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201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90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202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95</v>
      </c>
      <c r="B13">
        <v>0.8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203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204</v>
      </c>
    </row>
    <row r="4" spans="1:14" x14ac:dyDescent="0.55000000000000004">
      <c r="A4" t="s">
        <v>115</v>
      </c>
      <c r="B4" t="s">
        <v>93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205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90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202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95</v>
      </c>
      <c r="B13">
        <v>7.4999999999999997E-2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203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206</v>
      </c>
    </row>
    <row r="4" spans="1:14" x14ac:dyDescent="0.55000000000000004">
      <c r="A4" t="s">
        <v>115</v>
      </c>
      <c r="B4" t="s">
        <v>96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207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37</v>
      </c>
      <c r="B12">
        <v>4.5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157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18</v>
      </c>
      <c r="B13">
        <v>4.5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137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13"/>
  <sheetViews>
    <sheetView workbookViewId="0"/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208</v>
      </c>
    </row>
    <row r="4" spans="1:14" x14ac:dyDescent="0.55000000000000004">
      <c r="A4" t="s">
        <v>115</v>
      </c>
      <c r="B4" t="s">
        <v>98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209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54</v>
      </c>
      <c r="B12">
        <v>100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169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32</v>
      </c>
      <c r="B13">
        <v>100</v>
      </c>
      <c r="C13" t="s">
        <v>17</v>
      </c>
      <c r="D13" t="s">
        <v>132</v>
      </c>
      <c r="E13" t="s">
        <v>133</v>
      </c>
      <c r="F13" t="s">
        <v>12</v>
      </c>
      <c r="G13" t="s">
        <v>134</v>
      </c>
      <c r="H13" t="s">
        <v>151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2"/>
  <sheetViews>
    <sheetView workbookViewId="0">
      <selection activeCell="D12" sqref="D12"/>
    </sheetView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101</v>
      </c>
    </row>
    <row r="4" spans="1:14" x14ac:dyDescent="0.55000000000000004">
      <c r="A4" t="s">
        <v>115</v>
      </c>
      <c r="B4" t="s">
        <v>100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210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102</v>
      </c>
      <c r="B12">
        <v>4.8</v>
      </c>
      <c r="C12" t="s">
        <v>17</v>
      </c>
      <c r="D12" t="s">
        <v>132</v>
      </c>
      <c r="E12" t="s">
        <v>133</v>
      </c>
      <c r="F12" t="s">
        <v>12</v>
      </c>
      <c r="G12" t="s">
        <v>134</v>
      </c>
      <c r="H12" t="s">
        <v>211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20"/>
  <sheetViews>
    <sheetView workbookViewId="0">
      <selection activeCell="H20" sqref="H20"/>
    </sheetView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79</v>
      </c>
    </row>
    <row r="4" spans="1:14" x14ac:dyDescent="0.55000000000000004">
      <c r="A4" t="s">
        <v>115</v>
      </c>
      <c r="B4" t="s">
        <v>78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212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192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193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194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195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197</v>
      </c>
      <c r="B14">
        <v>1</v>
      </c>
      <c r="C14" t="s">
        <v>13</v>
      </c>
      <c r="D14" t="s">
        <v>110</v>
      </c>
      <c r="E14" t="s">
        <v>133</v>
      </c>
      <c r="F14" t="s">
        <v>12</v>
      </c>
      <c r="G14" t="s">
        <v>134</v>
      </c>
      <c r="H14" t="s">
        <v>198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200</v>
      </c>
      <c r="B15">
        <v>1</v>
      </c>
      <c r="C15" t="s">
        <v>13</v>
      </c>
      <c r="D15" t="s">
        <v>110</v>
      </c>
      <c r="E15" t="s">
        <v>133</v>
      </c>
      <c r="F15" t="s">
        <v>12</v>
      </c>
      <c r="G15" t="s">
        <v>134</v>
      </c>
      <c r="H15" t="s">
        <v>201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204</v>
      </c>
      <c r="B16">
        <v>1</v>
      </c>
      <c r="C16" t="s">
        <v>13</v>
      </c>
      <c r="D16" t="s">
        <v>110</v>
      </c>
      <c r="E16" t="s">
        <v>133</v>
      </c>
      <c r="F16" t="s">
        <v>12</v>
      </c>
      <c r="G16" t="s">
        <v>134</v>
      </c>
      <c r="H16" t="s">
        <v>205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55000000000000004">
      <c r="A17" t="s">
        <v>206</v>
      </c>
      <c r="B17">
        <v>1</v>
      </c>
      <c r="C17" t="s">
        <v>13</v>
      </c>
      <c r="D17" t="s">
        <v>110</v>
      </c>
      <c r="E17" t="s">
        <v>133</v>
      </c>
      <c r="F17" t="s">
        <v>12</v>
      </c>
      <c r="G17" t="s">
        <v>134</v>
      </c>
      <c r="H17" t="s">
        <v>207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55000000000000004">
      <c r="A18" t="s">
        <v>208</v>
      </c>
      <c r="B18">
        <v>1</v>
      </c>
      <c r="C18" t="s">
        <v>13</v>
      </c>
      <c r="D18" t="s">
        <v>110</v>
      </c>
      <c r="E18" t="s">
        <v>133</v>
      </c>
      <c r="F18" t="s">
        <v>12</v>
      </c>
      <c r="G18" t="s">
        <v>134</v>
      </c>
      <c r="H18" t="s">
        <v>209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55000000000000004">
      <c r="A19" t="s">
        <v>101</v>
      </c>
      <c r="B19">
        <v>1</v>
      </c>
      <c r="C19" t="s">
        <v>13</v>
      </c>
      <c r="D19" t="s">
        <v>110</v>
      </c>
      <c r="E19" t="s">
        <v>133</v>
      </c>
      <c r="F19" t="s">
        <v>12</v>
      </c>
      <c r="G19" t="s">
        <v>134</v>
      </c>
      <c r="H19" t="s">
        <v>210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55000000000000004">
      <c r="A20" t="s">
        <v>105</v>
      </c>
      <c r="B20">
        <v>311672.3</v>
      </c>
      <c r="C20" t="s">
        <v>106</v>
      </c>
      <c r="D20" t="s">
        <v>132</v>
      </c>
      <c r="E20" t="s">
        <v>190</v>
      </c>
      <c r="F20" t="s">
        <v>12</v>
      </c>
      <c r="G20" t="s">
        <v>134</v>
      </c>
      <c r="H20" t="s">
        <v>191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13"/>
  <sheetViews>
    <sheetView workbookViewId="0">
      <selection activeCell="B9" sqref="B9"/>
    </sheetView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213</v>
      </c>
    </row>
    <row r="4" spans="1:14" x14ac:dyDescent="0.55000000000000004">
      <c r="A4" t="s">
        <v>115</v>
      </c>
      <c r="B4" t="s">
        <v>214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v>1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13</v>
      </c>
    </row>
    <row r="9" spans="1:14" x14ac:dyDescent="0.55000000000000004">
      <c r="A9" t="s">
        <v>120</v>
      </c>
      <c r="B9" t="s">
        <v>215</v>
      </c>
    </row>
    <row r="10" spans="1:14" x14ac:dyDescent="0.55000000000000004">
      <c r="A10" s="3" t="s">
        <v>122</v>
      </c>
    </row>
    <row r="11" spans="1:14" x14ac:dyDescent="0.55000000000000004">
      <c r="A11" s="3" t="s">
        <v>123</v>
      </c>
      <c r="B11" s="3" t="s">
        <v>117</v>
      </c>
      <c r="C11" s="3" t="s">
        <v>13</v>
      </c>
      <c r="D11" s="3" t="s">
        <v>124</v>
      </c>
      <c r="E11" s="3" t="s">
        <v>125</v>
      </c>
      <c r="F11" s="3" t="s">
        <v>116</v>
      </c>
      <c r="G11" s="3" t="s">
        <v>118</v>
      </c>
      <c r="H11" s="3" t="s">
        <v>120</v>
      </c>
      <c r="I11" s="3" t="s">
        <v>126</v>
      </c>
      <c r="J11" s="3" t="s">
        <v>127</v>
      </c>
      <c r="K11" s="3" t="s">
        <v>128</v>
      </c>
      <c r="L11" s="3" t="s">
        <v>129</v>
      </c>
      <c r="M11" s="3" t="s">
        <v>130</v>
      </c>
      <c r="N11" s="3" t="s">
        <v>131</v>
      </c>
    </row>
    <row r="12" spans="1:14" x14ac:dyDescent="0.55000000000000004">
      <c r="A12" t="s">
        <v>188</v>
      </c>
      <c r="B12">
        <v>1</v>
      </c>
      <c r="C12" t="s">
        <v>13</v>
      </c>
      <c r="D12" t="s">
        <v>110</v>
      </c>
      <c r="E12" t="s">
        <v>133</v>
      </c>
      <c r="F12" t="s">
        <v>12</v>
      </c>
      <c r="G12" t="s">
        <v>134</v>
      </c>
      <c r="H12" t="s">
        <v>189</v>
      </c>
      <c r="I12">
        <v>0</v>
      </c>
      <c r="J12">
        <v>0.33</v>
      </c>
      <c r="K12" t="s">
        <v>136</v>
      </c>
      <c r="L12" t="s">
        <v>136</v>
      </c>
      <c r="M12" t="s">
        <v>136</v>
      </c>
      <c r="N12" t="s">
        <v>136</v>
      </c>
    </row>
    <row r="13" spans="1:14" x14ac:dyDescent="0.55000000000000004">
      <c r="A13" t="s">
        <v>79</v>
      </c>
      <c r="B13">
        <v>1</v>
      </c>
      <c r="C13" t="s">
        <v>13</v>
      </c>
      <c r="D13" t="s">
        <v>110</v>
      </c>
      <c r="E13" t="s">
        <v>133</v>
      </c>
      <c r="F13" t="s">
        <v>12</v>
      </c>
      <c r="G13" t="s">
        <v>134</v>
      </c>
      <c r="H13" t="s">
        <v>212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N21"/>
  <sheetViews>
    <sheetView tabSelected="1" workbookViewId="0">
      <selection activeCell="B10" sqref="B10"/>
    </sheetView>
  </sheetViews>
  <sheetFormatPr defaultColWidth="8.83984375" defaultRowHeight="14.4" x14ac:dyDescent="0.55000000000000004"/>
  <cols>
    <col min="1" max="1" width="36.83984375" customWidth="1"/>
    <col min="2" max="2" width="25.3125" customWidth="1"/>
    <col min="4" max="4" width="19.68359375" customWidth="1"/>
    <col min="7" max="7" width="16.47265625" customWidth="1"/>
    <col min="8" max="8" width="25.83984375" customWidth="1"/>
  </cols>
  <sheetData>
    <row r="1" spans="1:14" x14ac:dyDescent="0.55000000000000004">
      <c r="A1" t="s">
        <v>108</v>
      </c>
      <c r="B1">
        <v>14</v>
      </c>
    </row>
    <row r="3" spans="1:14" x14ac:dyDescent="0.55000000000000004">
      <c r="A3" s="3" t="s">
        <v>113</v>
      </c>
      <c r="B3" s="3" t="s">
        <v>216</v>
      </c>
    </row>
    <row r="4" spans="1:14" x14ac:dyDescent="0.55000000000000004">
      <c r="A4" t="s">
        <v>115</v>
      </c>
      <c r="B4" t="s">
        <v>217</v>
      </c>
    </row>
    <row r="5" spans="1:14" x14ac:dyDescent="0.55000000000000004">
      <c r="A5" t="s">
        <v>116</v>
      </c>
      <c r="B5" t="s">
        <v>12</v>
      </c>
    </row>
    <row r="6" spans="1:14" x14ac:dyDescent="0.55000000000000004">
      <c r="A6" t="s">
        <v>117</v>
      </c>
      <c r="B6">
        <f>0.149*39.22</f>
        <v>5.8437799999999998</v>
      </c>
    </row>
    <row r="7" spans="1:14" x14ac:dyDescent="0.55000000000000004">
      <c r="A7" t="s">
        <v>118</v>
      </c>
      <c r="B7" t="s">
        <v>119</v>
      </c>
    </row>
    <row r="8" spans="1:14" x14ac:dyDescent="0.55000000000000004">
      <c r="A8" t="s">
        <v>13</v>
      </c>
      <c r="B8" t="s">
        <v>17</v>
      </c>
    </row>
    <row r="9" spans="1:14" x14ac:dyDescent="0.55000000000000004">
      <c r="A9" t="s">
        <v>120</v>
      </c>
      <c r="B9" t="s">
        <v>218</v>
      </c>
    </row>
    <row r="10" spans="1:14" x14ac:dyDescent="0.55000000000000004">
      <c r="A10" t="s">
        <v>219</v>
      </c>
      <c r="B10" t="s">
        <v>220</v>
      </c>
    </row>
    <row r="11" spans="1:14" x14ac:dyDescent="0.55000000000000004">
      <c r="A11" s="3" t="s">
        <v>122</v>
      </c>
    </row>
    <row r="12" spans="1:14" x14ac:dyDescent="0.55000000000000004">
      <c r="A12" s="3" t="s">
        <v>123</v>
      </c>
      <c r="B12" s="3" t="s">
        <v>117</v>
      </c>
      <c r="C12" s="3" t="s">
        <v>13</v>
      </c>
      <c r="D12" s="3" t="s">
        <v>124</v>
      </c>
      <c r="E12" s="3" t="s">
        <v>125</v>
      </c>
      <c r="F12" s="3" t="s">
        <v>116</v>
      </c>
      <c r="G12" s="3" t="s">
        <v>118</v>
      </c>
      <c r="H12" s="3" t="s">
        <v>120</v>
      </c>
      <c r="I12" s="3" t="s">
        <v>126</v>
      </c>
      <c r="J12" s="3" t="s">
        <v>127</v>
      </c>
      <c r="K12" s="3" t="s">
        <v>128</v>
      </c>
      <c r="L12" s="3" t="s">
        <v>129</v>
      </c>
      <c r="M12" s="3" t="s">
        <v>130</v>
      </c>
      <c r="N12" s="3" t="s">
        <v>131</v>
      </c>
    </row>
    <row r="13" spans="1:14" x14ac:dyDescent="0.55000000000000004">
      <c r="A13" t="s">
        <v>221</v>
      </c>
      <c r="B13">
        <v>27</v>
      </c>
      <c r="C13" t="s">
        <v>17</v>
      </c>
      <c r="D13" t="s">
        <v>132</v>
      </c>
      <c r="E13" t="s">
        <v>222</v>
      </c>
      <c r="F13" t="s">
        <v>47</v>
      </c>
      <c r="G13" t="s">
        <v>134</v>
      </c>
      <c r="H13" t="s">
        <v>223</v>
      </c>
      <c r="I13">
        <v>0</v>
      </c>
      <c r="J13">
        <v>0.33</v>
      </c>
      <c r="K13" t="s">
        <v>136</v>
      </c>
      <c r="L13" t="s">
        <v>136</v>
      </c>
      <c r="M13" t="s">
        <v>136</v>
      </c>
      <c r="N13" t="s">
        <v>136</v>
      </c>
    </row>
    <row r="14" spans="1:14" x14ac:dyDescent="0.55000000000000004">
      <c r="A14" t="s">
        <v>105</v>
      </c>
      <c r="B14">
        <v>143</v>
      </c>
      <c r="C14" t="s">
        <v>106</v>
      </c>
      <c r="D14" t="s">
        <v>132</v>
      </c>
      <c r="E14" t="s">
        <v>190</v>
      </c>
      <c r="F14" t="s">
        <v>12</v>
      </c>
      <c r="G14" t="s">
        <v>134</v>
      </c>
      <c r="H14" t="s">
        <v>191</v>
      </c>
      <c r="I14">
        <v>0</v>
      </c>
      <c r="J14">
        <v>0.33</v>
      </c>
      <c r="K14" t="s">
        <v>136</v>
      </c>
      <c r="L14" t="s">
        <v>136</v>
      </c>
      <c r="M14" t="s">
        <v>136</v>
      </c>
      <c r="N14" t="s">
        <v>136</v>
      </c>
    </row>
    <row r="15" spans="1:14" x14ac:dyDescent="0.55000000000000004">
      <c r="A15" t="s">
        <v>224</v>
      </c>
      <c r="B15">
        <v>67.400000000000006</v>
      </c>
      <c r="C15" t="s">
        <v>17</v>
      </c>
      <c r="D15" t="s">
        <v>132</v>
      </c>
      <c r="E15" t="s">
        <v>222</v>
      </c>
      <c r="F15" t="s">
        <v>47</v>
      </c>
      <c r="G15" t="s">
        <v>134</v>
      </c>
      <c r="H15" t="s">
        <v>225</v>
      </c>
      <c r="I15">
        <v>0</v>
      </c>
      <c r="J15">
        <v>0.33</v>
      </c>
      <c r="K15" t="s">
        <v>136</v>
      </c>
      <c r="L15" t="s">
        <v>136</v>
      </c>
      <c r="M15" t="s">
        <v>136</v>
      </c>
      <c r="N15" t="s">
        <v>136</v>
      </c>
    </row>
    <row r="16" spans="1:14" x14ac:dyDescent="0.55000000000000004">
      <c r="A16" t="s">
        <v>226</v>
      </c>
      <c r="B16">
        <v>4</v>
      </c>
      <c r="C16" t="s">
        <v>17</v>
      </c>
      <c r="D16" t="s">
        <v>132</v>
      </c>
      <c r="E16" t="s">
        <v>227</v>
      </c>
      <c r="F16" t="s">
        <v>12</v>
      </c>
      <c r="G16" t="s">
        <v>134</v>
      </c>
      <c r="H16" t="s">
        <v>228</v>
      </c>
      <c r="I16">
        <v>0</v>
      </c>
      <c r="J16">
        <v>0.33</v>
      </c>
      <c r="K16" t="s">
        <v>136</v>
      </c>
      <c r="L16" t="s">
        <v>136</v>
      </c>
      <c r="M16" t="s">
        <v>136</v>
      </c>
      <c r="N16" t="s">
        <v>136</v>
      </c>
    </row>
    <row r="17" spans="1:14" x14ac:dyDescent="0.55000000000000004">
      <c r="A17" t="s">
        <v>229</v>
      </c>
      <c r="B17">
        <v>4.5999999999999996</v>
      </c>
      <c r="C17" t="s">
        <v>17</v>
      </c>
      <c r="D17" t="s">
        <v>132</v>
      </c>
      <c r="E17" t="s">
        <v>222</v>
      </c>
      <c r="F17" t="s">
        <v>12</v>
      </c>
      <c r="G17" t="s">
        <v>134</v>
      </c>
      <c r="H17" t="s">
        <v>230</v>
      </c>
      <c r="I17">
        <v>0</v>
      </c>
      <c r="J17">
        <v>0.33</v>
      </c>
      <c r="K17" t="s">
        <v>136</v>
      </c>
      <c r="L17" t="s">
        <v>136</v>
      </c>
      <c r="M17" t="s">
        <v>136</v>
      </c>
      <c r="N17" t="s">
        <v>136</v>
      </c>
    </row>
    <row r="18" spans="1:14" x14ac:dyDescent="0.55000000000000004">
      <c r="A18" t="s">
        <v>231</v>
      </c>
      <c r="B18">
        <v>8</v>
      </c>
      <c r="C18" t="s">
        <v>17</v>
      </c>
      <c r="D18" t="s">
        <v>132</v>
      </c>
      <c r="E18" t="s">
        <v>222</v>
      </c>
      <c r="F18" t="s">
        <v>12</v>
      </c>
      <c r="G18" t="s">
        <v>134</v>
      </c>
      <c r="H18" t="s">
        <v>232</v>
      </c>
      <c r="I18">
        <v>0</v>
      </c>
      <c r="J18">
        <v>0.33</v>
      </c>
      <c r="K18" t="s">
        <v>136</v>
      </c>
      <c r="L18" t="s">
        <v>136</v>
      </c>
      <c r="M18" t="s">
        <v>136</v>
      </c>
      <c r="N18" t="s">
        <v>136</v>
      </c>
    </row>
    <row r="19" spans="1:14" x14ac:dyDescent="0.55000000000000004">
      <c r="A19" t="s">
        <v>233</v>
      </c>
      <c r="B19">
        <v>4</v>
      </c>
      <c r="C19" t="s">
        <v>17</v>
      </c>
      <c r="D19" t="s">
        <v>132</v>
      </c>
      <c r="E19" t="s">
        <v>222</v>
      </c>
      <c r="F19" t="s">
        <v>12</v>
      </c>
      <c r="G19" t="s">
        <v>134</v>
      </c>
      <c r="H19" t="s">
        <v>234</v>
      </c>
      <c r="I19">
        <v>0</v>
      </c>
      <c r="J19">
        <v>0.33</v>
      </c>
      <c r="K19" t="s">
        <v>136</v>
      </c>
      <c r="L19" t="s">
        <v>136</v>
      </c>
      <c r="M19" t="s">
        <v>136</v>
      </c>
      <c r="N19" t="s">
        <v>136</v>
      </c>
    </row>
    <row r="20" spans="1:14" x14ac:dyDescent="0.55000000000000004">
      <c r="A20" t="s">
        <v>235</v>
      </c>
      <c r="B20">
        <v>1</v>
      </c>
      <c r="C20" t="s">
        <v>17</v>
      </c>
      <c r="D20" t="s">
        <v>132</v>
      </c>
      <c r="E20" t="s">
        <v>222</v>
      </c>
      <c r="F20" t="s">
        <v>12</v>
      </c>
      <c r="G20" t="s">
        <v>134</v>
      </c>
      <c r="H20" t="s">
        <v>236</v>
      </c>
      <c r="I20">
        <v>0</v>
      </c>
      <c r="J20">
        <v>0.33</v>
      </c>
      <c r="K20" t="s">
        <v>136</v>
      </c>
      <c r="L20" t="s">
        <v>136</v>
      </c>
      <c r="M20" t="s">
        <v>136</v>
      </c>
      <c r="N20" t="s">
        <v>136</v>
      </c>
    </row>
    <row r="21" spans="1:14" x14ac:dyDescent="0.55000000000000004">
      <c r="A21" t="s">
        <v>29</v>
      </c>
      <c r="B21">
        <v>13.7</v>
      </c>
      <c r="C21" t="s">
        <v>17</v>
      </c>
      <c r="D21" t="s">
        <v>132</v>
      </c>
      <c r="E21" t="s">
        <v>227</v>
      </c>
      <c r="F21" t="s">
        <v>12</v>
      </c>
      <c r="G21" t="s">
        <v>134</v>
      </c>
      <c r="H21" t="s">
        <v>148</v>
      </c>
      <c r="I21">
        <v>0</v>
      </c>
      <c r="J21">
        <v>0.33</v>
      </c>
      <c r="K21" t="s">
        <v>136</v>
      </c>
      <c r="L21" t="s">
        <v>136</v>
      </c>
      <c r="M21" t="s">
        <v>136</v>
      </c>
      <c r="N21" t="s">
        <v>136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14"/>
  <sheetViews>
    <sheetView workbookViewId="0">
      <selection activeCell="D14" sqref="D14"/>
    </sheetView>
  </sheetViews>
  <sheetFormatPr defaultColWidth="8.83984375" defaultRowHeight="14.4" x14ac:dyDescent="0.55000000000000004"/>
  <cols>
    <col min="1" max="1" width="75" customWidth="1"/>
    <col min="2" max="2" width="25.3125" customWidth="1"/>
    <col min="4" max="4" width="23.15625" customWidth="1"/>
    <col min="5" max="5" width="19.68359375" customWidth="1"/>
    <col min="8" max="8" width="16.47265625" customWidth="1"/>
    <col min="9" max="9" width="25.83984375" customWidth="1"/>
  </cols>
  <sheetData>
    <row r="1" spans="1:15" x14ac:dyDescent="0.55000000000000004">
      <c r="A1" t="s">
        <v>108</v>
      </c>
      <c r="B1">
        <v>14</v>
      </c>
    </row>
    <row r="3" spans="1:15" x14ac:dyDescent="0.55000000000000004">
      <c r="A3" s="3" t="s">
        <v>113</v>
      </c>
      <c r="B3" s="3" t="s">
        <v>237</v>
      </c>
    </row>
    <row r="4" spans="1:15" x14ac:dyDescent="0.55000000000000004">
      <c r="A4" t="s">
        <v>115</v>
      </c>
      <c r="B4" t="s">
        <v>238</v>
      </c>
    </row>
    <row r="5" spans="1:15" x14ac:dyDescent="0.55000000000000004">
      <c r="A5" t="s">
        <v>116</v>
      </c>
      <c r="B5" t="s">
        <v>12</v>
      </c>
    </row>
    <row r="6" spans="1:15" x14ac:dyDescent="0.55000000000000004">
      <c r="A6" t="s">
        <v>117</v>
      </c>
      <c r="B6">
        <v>1</v>
      </c>
    </row>
    <row r="7" spans="1:15" x14ac:dyDescent="0.55000000000000004">
      <c r="A7" t="s">
        <v>118</v>
      </c>
      <c r="B7" t="s">
        <v>119</v>
      </c>
    </row>
    <row r="8" spans="1:15" x14ac:dyDescent="0.55000000000000004">
      <c r="A8" t="s">
        <v>13</v>
      </c>
      <c r="B8" t="s">
        <v>106</v>
      </c>
    </row>
    <row r="9" spans="1:15" x14ac:dyDescent="0.55000000000000004">
      <c r="A9" t="s">
        <v>120</v>
      </c>
      <c r="B9" t="s">
        <v>191</v>
      </c>
    </row>
    <row r="10" spans="1:15" x14ac:dyDescent="0.55000000000000004">
      <c r="A10" s="3" t="s">
        <v>122</v>
      </c>
    </row>
    <row r="11" spans="1:15" x14ac:dyDescent="0.55000000000000004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124</v>
      </c>
      <c r="F11" s="3" t="s">
        <v>125</v>
      </c>
      <c r="G11" s="3" t="s">
        <v>116</v>
      </c>
      <c r="H11" s="3" t="s">
        <v>118</v>
      </c>
      <c r="I11" s="3" t="s">
        <v>120</v>
      </c>
      <c r="J11" s="3" t="s">
        <v>126</v>
      </c>
      <c r="K11" s="3" t="s">
        <v>127</v>
      </c>
      <c r="L11" s="3" t="s">
        <v>128</v>
      </c>
      <c r="M11" s="3" t="s">
        <v>129</v>
      </c>
      <c r="N11" s="3" t="s">
        <v>130</v>
      </c>
      <c r="O11" s="3" t="s">
        <v>131</v>
      </c>
    </row>
    <row r="12" spans="1:15" x14ac:dyDescent="0.55000000000000004">
      <c r="A12" t="s">
        <v>240</v>
      </c>
      <c r="B12" s="4">
        <v>6.0749650689508531E-6</v>
      </c>
      <c r="C12" t="s">
        <v>13</v>
      </c>
      <c r="D12" t="s">
        <v>241</v>
      </c>
      <c r="E12" t="s">
        <v>132</v>
      </c>
      <c r="F12" t="s">
        <v>190</v>
      </c>
      <c r="G12" t="s">
        <v>12</v>
      </c>
      <c r="H12" t="s">
        <v>134</v>
      </c>
      <c r="I12" t="s">
        <v>242</v>
      </c>
      <c r="J12">
        <v>0</v>
      </c>
      <c r="K12">
        <v>0.33</v>
      </c>
      <c r="L12" t="s">
        <v>136</v>
      </c>
      <c r="M12" t="s">
        <v>136</v>
      </c>
      <c r="N12" t="s">
        <v>136</v>
      </c>
      <c r="O12" t="s">
        <v>136</v>
      </c>
    </row>
    <row r="13" spans="1:15" x14ac:dyDescent="0.55000000000000004">
      <c r="A13" t="s">
        <v>243</v>
      </c>
      <c r="B13" s="4">
        <v>2.600085049510965E-3</v>
      </c>
      <c r="C13" t="s">
        <v>17</v>
      </c>
      <c r="D13" t="s">
        <v>244</v>
      </c>
      <c r="E13" t="s">
        <v>132</v>
      </c>
      <c r="F13" t="s">
        <v>245</v>
      </c>
      <c r="G13" t="s">
        <v>47</v>
      </c>
      <c r="H13" t="s">
        <v>134</v>
      </c>
      <c r="I13" t="s">
        <v>246</v>
      </c>
      <c r="J13">
        <v>0</v>
      </c>
      <c r="K13">
        <v>0.33</v>
      </c>
      <c r="L13" t="s">
        <v>136</v>
      </c>
      <c r="M13" t="s">
        <v>136</v>
      </c>
      <c r="N13" t="s">
        <v>136</v>
      </c>
      <c r="O13" t="s">
        <v>136</v>
      </c>
    </row>
    <row r="14" spans="1:15" x14ac:dyDescent="0.55000000000000004">
      <c r="A14" t="s">
        <v>247</v>
      </c>
      <c r="B14" s="4">
        <v>2.6000850495109652E-6</v>
      </c>
      <c r="C14" t="s">
        <v>77</v>
      </c>
      <c r="D14" t="s">
        <v>248</v>
      </c>
      <c r="E14" t="s">
        <v>132</v>
      </c>
      <c r="F14" t="s">
        <v>249</v>
      </c>
      <c r="G14" t="s">
        <v>47</v>
      </c>
      <c r="H14" t="s">
        <v>134</v>
      </c>
      <c r="I14" t="s">
        <v>250</v>
      </c>
      <c r="J14">
        <v>0</v>
      </c>
      <c r="K14">
        <v>0.33</v>
      </c>
      <c r="L14" t="s">
        <v>136</v>
      </c>
      <c r="M14" t="s">
        <v>136</v>
      </c>
      <c r="N14" t="s">
        <v>136</v>
      </c>
      <c r="O14" t="s">
        <v>136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P16"/>
  <sheetViews>
    <sheetView workbookViewId="0">
      <selection activeCell="D16" sqref="D16"/>
    </sheetView>
  </sheetViews>
  <sheetFormatPr defaultColWidth="8.83984375" defaultRowHeight="14.4" x14ac:dyDescent="0.55000000000000004"/>
  <cols>
    <col min="1" max="1" width="75" customWidth="1"/>
    <col min="2" max="2" width="25.3125" customWidth="1"/>
    <col min="4" max="5" width="16.15625" customWidth="1"/>
    <col min="6" max="6" width="19.68359375" customWidth="1"/>
    <col min="7" max="7" width="12.15625" customWidth="1"/>
    <col min="9" max="9" width="16.47265625" customWidth="1"/>
    <col min="10" max="10" width="25.83984375" customWidth="1"/>
  </cols>
  <sheetData>
    <row r="1" spans="1:16" x14ac:dyDescent="0.55000000000000004">
      <c r="A1" t="s">
        <v>108</v>
      </c>
      <c r="B1">
        <v>14</v>
      </c>
    </row>
    <row r="2" spans="1:16" x14ac:dyDescent="0.55000000000000004"/>
    <row r="3" spans="1:16" x14ac:dyDescent="0.55000000000000004">
      <c r="A3" s="3" t="s">
        <v>113</v>
      </c>
      <c r="B3" s="3" t="s">
        <v>251</v>
      </c>
    </row>
    <row r="4" spans="1:16" x14ac:dyDescent="0.55000000000000004">
      <c r="A4" t="s">
        <v>115</v>
      </c>
      <c r="B4" t="s">
        <v>252</v>
      </c>
    </row>
    <row r="5" spans="1:16" x14ac:dyDescent="0.55000000000000004">
      <c r="A5" t="s">
        <v>116</v>
      </c>
      <c r="B5" t="s">
        <v>12</v>
      </c>
    </row>
    <row r="6" spans="1:16" x14ac:dyDescent="0.55000000000000004">
      <c r="A6" t="s">
        <v>117</v>
      </c>
      <c r="B6">
        <v>1</v>
      </c>
    </row>
    <row r="7" spans="1:16" x14ac:dyDescent="0.55000000000000004">
      <c r="A7" t="s">
        <v>118</v>
      </c>
      <c r="B7" t="s">
        <v>119</v>
      </c>
    </row>
    <row r="8" spans="1:16" x14ac:dyDescent="0.55000000000000004">
      <c r="A8" t="s">
        <v>13</v>
      </c>
      <c r="B8" t="s">
        <v>106</v>
      </c>
    </row>
    <row r="9" spans="1:16" x14ac:dyDescent="0.55000000000000004">
      <c r="A9" t="s">
        <v>120</v>
      </c>
      <c r="B9" t="s">
        <v>191</v>
      </c>
    </row>
    <row r="10" spans="1:16" x14ac:dyDescent="0.55000000000000004">
      <c r="A10" s="3" t="s">
        <v>122</v>
      </c>
    </row>
    <row r="11" spans="1:16" x14ac:dyDescent="0.55000000000000004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253</v>
      </c>
      <c r="F11" s="3" t="s">
        <v>124</v>
      </c>
      <c r="G11" s="3" t="s">
        <v>125</v>
      </c>
      <c r="H11" s="3" t="s">
        <v>116</v>
      </c>
      <c r="I11" s="3" t="s">
        <v>118</v>
      </c>
      <c r="J11" s="3" t="s">
        <v>120</v>
      </c>
      <c r="K11" s="3" t="s">
        <v>126</v>
      </c>
      <c r="L11" s="3" t="s">
        <v>127</v>
      </c>
      <c r="M11" s="3" t="s">
        <v>128</v>
      </c>
      <c r="N11" s="3" t="s">
        <v>129</v>
      </c>
      <c r="O11" s="3" t="s">
        <v>130</v>
      </c>
      <c r="P11" s="3" t="s">
        <v>131</v>
      </c>
    </row>
    <row r="12" spans="1:16" x14ac:dyDescent="0.55000000000000004">
      <c r="A12" t="s">
        <v>254</v>
      </c>
      <c r="B12" s="7">
        <v>4.5472114225950932E-9</v>
      </c>
      <c r="C12" t="s">
        <v>13</v>
      </c>
      <c r="D12" t="s">
        <v>259</v>
      </c>
      <c r="E12" t="s">
        <v>256</v>
      </c>
      <c r="F12" t="s">
        <v>132</v>
      </c>
      <c r="G12" t="s">
        <v>190</v>
      </c>
      <c r="H12" t="s">
        <v>12</v>
      </c>
      <c r="I12" t="s">
        <v>134</v>
      </c>
      <c r="J12" t="s">
        <v>257</v>
      </c>
      <c r="K12">
        <v>0</v>
      </c>
      <c r="L12">
        <v>0.33</v>
      </c>
      <c r="M12" t="s">
        <v>136</v>
      </c>
      <c r="N12" t="s">
        <v>136</v>
      </c>
      <c r="O12" t="s">
        <v>136</v>
      </c>
      <c r="P12" t="s">
        <v>136</v>
      </c>
    </row>
    <row r="13" spans="1:16" x14ac:dyDescent="0.55000000000000004">
      <c r="A13" t="s">
        <v>258</v>
      </c>
      <c r="B13" s="7">
        <v>4.5472114225950932E-9</v>
      </c>
      <c r="C13" t="s">
        <v>13</v>
      </c>
      <c r="D13" t="s">
        <v>259</v>
      </c>
      <c r="E13" t="s">
        <v>256</v>
      </c>
      <c r="F13" t="s">
        <v>132</v>
      </c>
      <c r="G13" t="s">
        <v>190</v>
      </c>
      <c r="H13" t="s">
        <v>12</v>
      </c>
      <c r="I13" t="s">
        <v>134</v>
      </c>
      <c r="J13" t="s">
        <v>260</v>
      </c>
      <c r="K13">
        <v>0</v>
      </c>
      <c r="L13">
        <v>0.33</v>
      </c>
      <c r="M13" t="s">
        <v>136</v>
      </c>
      <c r="N13" t="s">
        <v>136</v>
      </c>
      <c r="O13" t="s">
        <v>136</v>
      </c>
      <c r="P13" t="s">
        <v>136</v>
      </c>
    </row>
    <row r="14" spans="1:16" x14ac:dyDescent="0.55000000000000004">
      <c r="A14" t="s">
        <v>46</v>
      </c>
      <c r="B14" s="7">
        <v>4.8343223518177479E-5</v>
      </c>
      <c r="C14" t="s">
        <v>17</v>
      </c>
      <c r="D14" t="s">
        <v>261</v>
      </c>
      <c r="E14" t="s">
        <v>262</v>
      </c>
      <c r="F14" t="s">
        <v>132</v>
      </c>
      <c r="G14" t="s">
        <v>222</v>
      </c>
      <c r="H14" t="s">
        <v>47</v>
      </c>
      <c r="I14" t="s">
        <v>134</v>
      </c>
      <c r="J14" t="s">
        <v>163</v>
      </c>
      <c r="K14">
        <v>0</v>
      </c>
      <c r="L14">
        <v>0.33</v>
      </c>
      <c r="M14" t="s">
        <v>136</v>
      </c>
      <c r="N14" t="s">
        <v>136</v>
      </c>
      <c r="O14" t="s">
        <v>136</v>
      </c>
      <c r="P14" t="s">
        <v>136</v>
      </c>
    </row>
    <row r="15" spans="1:16" x14ac:dyDescent="0.55000000000000004">
      <c r="A15" t="s">
        <v>263</v>
      </c>
      <c r="B15" s="7">
        <v>4.8343223518177479E-5</v>
      </c>
      <c r="C15" t="s">
        <v>17</v>
      </c>
      <c r="D15" t="s">
        <v>264</v>
      </c>
      <c r="E15" t="s">
        <v>262</v>
      </c>
      <c r="F15" t="s">
        <v>132</v>
      </c>
      <c r="G15" t="s">
        <v>249</v>
      </c>
      <c r="H15" t="s">
        <v>47</v>
      </c>
      <c r="I15" t="s">
        <v>134</v>
      </c>
      <c r="J15" t="s">
        <v>265</v>
      </c>
      <c r="K15">
        <v>0</v>
      </c>
      <c r="L15">
        <v>0.33</v>
      </c>
      <c r="M15" t="s">
        <v>136</v>
      </c>
      <c r="N15" t="s">
        <v>136</v>
      </c>
      <c r="O15" t="s">
        <v>136</v>
      </c>
      <c r="P15" t="s">
        <v>136</v>
      </c>
    </row>
    <row r="16" spans="1:16" x14ac:dyDescent="0.55000000000000004">
      <c r="A16" t="s">
        <v>266</v>
      </c>
      <c r="B16" s="7">
        <v>1.318961149121546E-12</v>
      </c>
      <c r="C16" t="s">
        <v>267</v>
      </c>
      <c r="D16" t="s">
        <v>283</v>
      </c>
      <c r="E16" t="s">
        <v>269</v>
      </c>
      <c r="F16" t="s">
        <v>132</v>
      </c>
      <c r="G16" t="s">
        <v>270</v>
      </c>
      <c r="H16" t="s">
        <v>47</v>
      </c>
      <c r="I16" t="s">
        <v>134</v>
      </c>
      <c r="J16" t="s">
        <v>271</v>
      </c>
      <c r="K16">
        <v>0</v>
      </c>
      <c r="L16">
        <v>0.33</v>
      </c>
      <c r="M16" t="s">
        <v>136</v>
      </c>
      <c r="N16" t="s">
        <v>136</v>
      </c>
      <c r="O16" t="s">
        <v>136</v>
      </c>
      <c r="P16" t="s">
        <v>136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P17"/>
  <sheetViews>
    <sheetView workbookViewId="0">
      <selection activeCell="A17" sqref="A17"/>
    </sheetView>
  </sheetViews>
  <sheetFormatPr defaultColWidth="8.83984375" defaultRowHeight="14.4" x14ac:dyDescent="0.55000000000000004"/>
  <cols>
    <col min="1" max="1" width="37.3125" customWidth="1"/>
    <col min="2" max="2" width="25.3125" customWidth="1"/>
    <col min="6" max="6" width="19.68359375" customWidth="1"/>
    <col min="9" max="9" width="16.47265625" customWidth="1"/>
    <col min="10" max="10" width="25.83984375" customWidth="1"/>
  </cols>
  <sheetData>
    <row r="1" spans="1:16" x14ac:dyDescent="0.55000000000000004">
      <c r="A1" t="s">
        <v>108</v>
      </c>
      <c r="B1">
        <v>14</v>
      </c>
    </row>
    <row r="3" spans="1:16" x14ac:dyDescent="0.55000000000000004">
      <c r="A3" s="3" t="s">
        <v>113</v>
      </c>
      <c r="B3" s="3" t="s">
        <v>272</v>
      </c>
    </row>
    <row r="4" spans="1:16" x14ac:dyDescent="0.55000000000000004">
      <c r="A4" t="s">
        <v>115</v>
      </c>
      <c r="B4" t="s">
        <v>273</v>
      </c>
    </row>
    <row r="5" spans="1:16" x14ac:dyDescent="0.55000000000000004">
      <c r="A5" t="s">
        <v>116</v>
      </c>
      <c r="B5" t="s">
        <v>12</v>
      </c>
    </row>
    <row r="6" spans="1:16" x14ac:dyDescent="0.55000000000000004">
      <c r="A6" t="s">
        <v>117</v>
      </c>
      <c r="B6">
        <v>1</v>
      </c>
    </row>
    <row r="7" spans="1:16" x14ac:dyDescent="0.55000000000000004">
      <c r="A7" t="s">
        <v>118</v>
      </c>
      <c r="B7" t="s">
        <v>119</v>
      </c>
    </row>
    <row r="8" spans="1:16" x14ac:dyDescent="0.55000000000000004">
      <c r="A8" t="s">
        <v>13</v>
      </c>
      <c r="B8" t="s">
        <v>13</v>
      </c>
    </row>
    <row r="9" spans="1:16" x14ac:dyDescent="0.55000000000000004">
      <c r="A9" t="s">
        <v>120</v>
      </c>
      <c r="B9" t="s">
        <v>274</v>
      </c>
    </row>
    <row r="10" spans="1:16" x14ac:dyDescent="0.55000000000000004">
      <c r="A10" s="3" t="s">
        <v>122</v>
      </c>
    </row>
    <row r="11" spans="1:16" x14ac:dyDescent="0.55000000000000004">
      <c r="A11" s="3" t="s">
        <v>123</v>
      </c>
      <c r="B11" s="3" t="s">
        <v>117</v>
      </c>
      <c r="C11" s="3" t="s">
        <v>13</v>
      </c>
      <c r="D11" s="3" t="s">
        <v>239</v>
      </c>
      <c r="E11" s="3" t="s">
        <v>253</v>
      </c>
      <c r="F11" s="3" t="s">
        <v>124</v>
      </c>
      <c r="G11" s="3" t="s">
        <v>125</v>
      </c>
      <c r="H11" s="3" t="s">
        <v>116</v>
      </c>
      <c r="I11" s="3" t="s">
        <v>118</v>
      </c>
      <c r="J11" s="3" t="s">
        <v>120</v>
      </c>
      <c r="K11" s="3" t="s">
        <v>126</v>
      </c>
      <c r="L11" s="3" t="s">
        <v>127</v>
      </c>
      <c r="M11" s="3" t="s">
        <v>128</v>
      </c>
      <c r="N11" s="3" t="s">
        <v>129</v>
      </c>
      <c r="O11" s="3" t="s">
        <v>130</v>
      </c>
      <c r="P11" s="3" t="s">
        <v>131</v>
      </c>
    </row>
    <row r="12" spans="1:16" x14ac:dyDescent="0.55000000000000004">
      <c r="A12" t="s">
        <v>213</v>
      </c>
      <c r="B12" s="4">
        <v>6.7762557077625645E-7</v>
      </c>
      <c r="C12" t="s">
        <v>13</v>
      </c>
      <c r="D12" t="s">
        <v>255</v>
      </c>
      <c r="F12" t="s">
        <v>110</v>
      </c>
      <c r="G12" t="s">
        <v>133</v>
      </c>
      <c r="H12" t="s">
        <v>12</v>
      </c>
      <c r="I12" t="s">
        <v>134</v>
      </c>
      <c r="J12" t="s">
        <v>215</v>
      </c>
      <c r="K12">
        <v>0</v>
      </c>
      <c r="L12">
        <v>0.33</v>
      </c>
      <c r="M12" t="s">
        <v>136</v>
      </c>
      <c r="N12" t="s">
        <v>136</v>
      </c>
      <c r="O12" t="s">
        <v>136</v>
      </c>
      <c r="P12" t="s">
        <v>136</v>
      </c>
    </row>
    <row r="13" spans="1:16" x14ac:dyDescent="0.55000000000000004">
      <c r="A13" t="s">
        <v>275</v>
      </c>
      <c r="B13" s="4">
        <v>50</v>
      </c>
      <c r="C13" t="s">
        <v>106</v>
      </c>
      <c r="D13" t="s">
        <v>276</v>
      </c>
      <c r="F13" t="s">
        <v>110</v>
      </c>
      <c r="G13" t="s">
        <v>133</v>
      </c>
      <c r="H13" t="s">
        <v>12</v>
      </c>
      <c r="I13" t="s">
        <v>134</v>
      </c>
      <c r="J13" t="s">
        <v>191</v>
      </c>
      <c r="K13">
        <v>0</v>
      </c>
      <c r="L13">
        <v>0.33</v>
      </c>
      <c r="M13" t="s">
        <v>136</v>
      </c>
      <c r="N13" t="s">
        <v>136</v>
      </c>
      <c r="O13" t="s">
        <v>136</v>
      </c>
      <c r="P13" t="s">
        <v>136</v>
      </c>
    </row>
    <row r="14" spans="1:16" x14ac:dyDescent="0.55000000000000004">
      <c r="A14" t="s">
        <v>277</v>
      </c>
      <c r="B14" s="4">
        <v>0</v>
      </c>
      <c r="C14" t="s">
        <v>106</v>
      </c>
      <c r="D14" t="s">
        <v>284</v>
      </c>
      <c r="F14" t="s">
        <v>110</v>
      </c>
      <c r="G14" t="s">
        <v>133</v>
      </c>
      <c r="H14" t="s">
        <v>12</v>
      </c>
      <c r="I14" t="s">
        <v>134</v>
      </c>
      <c r="J14" t="s">
        <v>191</v>
      </c>
      <c r="K14">
        <v>0</v>
      </c>
      <c r="L14">
        <v>0.33</v>
      </c>
      <c r="M14" t="s">
        <v>136</v>
      </c>
      <c r="N14" t="s">
        <v>136</v>
      </c>
      <c r="O14" t="s">
        <v>136</v>
      </c>
      <c r="P14" t="s">
        <v>136</v>
      </c>
    </row>
    <row r="15" spans="1:16" x14ac:dyDescent="0.55000000000000004">
      <c r="A15" t="s">
        <v>216</v>
      </c>
      <c r="B15" s="4">
        <v>0</v>
      </c>
      <c r="C15" t="s">
        <v>17</v>
      </c>
      <c r="D15" t="s">
        <v>278</v>
      </c>
      <c r="F15" t="s">
        <v>110</v>
      </c>
      <c r="G15" t="s">
        <v>133</v>
      </c>
      <c r="H15" t="s">
        <v>12</v>
      </c>
      <c r="I15" t="s">
        <v>134</v>
      </c>
      <c r="J15" t="s">
        <v>218</v>
      </c>
      <c r="K15">
        <v>0</v>
      </c>
      <c r="L15">
        <v>0.33</v>
      </c>
      <c r="M15" t="s">
        <v>136</v>
      </c>
      <c r="N15" t="s">
        <v>136</v>
      </c>
      <c r="O15" t="s">
        <v>136</v>
      </c>
      <c r="P15" t="s">
        <v>136</v>
      </c>
    </row>
    <row r="16" spans="1:16" x14ac:dyDescent="0.55000000000000004">
      <c r="A16" t="s">
        <v>279</v>
      </c>
      <c r="B16" s="4">
        <v>0</v>
      </c>
      <c r="C16" t="s">
        <v>17</v>
      </c>
      <c r="D16" t="s">
        <v>268</v>
      </c>
      <c r="F16" t="s">
        <v>132</v>
      </c>
      <c r="G16" t="s">
        <v>280</v>
      </c>
      <c r="H16" t="s">
        <v>12</v>
      </c>
      <c r="I16" t="s">
        <v>134</v>
      </c>
      <c r="J16" t="s">
        <v>281</v>
      </c>
      <c r="K16">
        <v>0</v>
      </c>
      <c r="L16">
        <v>0.33</v>
      </c>
      <c r="M16" t="s">
        <v>136</v>
      </c>
      <c r="N16" t="s">
        <v>136</v>
      </c>
      <c r="O16" t="s">
        <v>136</v>
      </c>
      <c r="P16" t="s">
        <v>136</v>
      </c>
    </row>
    <row r="17" spans="1:16" x14ac:dyDescent="0.55000000000000004">
      <c r="A17" t="s">
        <v>282</v>
      </c>
      <c r="B17">
        <v>10</v>
      </c>
      <c r="C17" t="s">
        <v>17</v>
      </c>
      <c r="F17" t="s">
        <v>132</v>
      </c>
      <c r="G17" t="s">
        <v>245</v>
      </c>
      <c r="H17" t="s">
        <v>12</v>
      </c>
      <c r="I17" t="s">
        <v>134</v>
      </c>
      <c r="J17" t="s">
        <v>246</v>
      </c>
      <c r="K17">
        <v>0</v>
      </c>
      <c r="L17">
        <v>0.33</v>
      </c>
      <c r="M17" t="s">
        <v>136</v>
      </c>
      <c r="N17" t="s">
        <v>136</v>
      </c>
      <c r="O17" t="s">
        <v>136</v>
      </c>
      <c r="P17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Full LCI PEMWE unit</vt:lpstr>
      <vt:lpstr>actbop1</vt:lpstr>
      <vt:lpstr>actbop2</vt:lpstr>
      <vt:lpstr>actbop3</vt:lpstr>
      <vt:lpstr>actbop4</vt:lpstr>
      <vt:lpstr>actbop5</vt:lpstr>
      <vt:lpstr>actbop6</vt:lpstr>
      <vt:lpstr>actbop7</vt:lpstr>
      <vt:lpstr>actbop8</vt:lpstr>
      <vt:lpstr>actbop9</vt:lpstr>
      <vt:lpstr>actbop10</vt:lpstr>
      <vt:lpstr>actbop11</vt:lpstr>
      <vt:lpstr>actbop12</vt:lpstr>
      <vt:lpstr>actbop13</vt:lpstr>
      <vt:lpstr>actbop14</vt:lpstr>
      <vt:lpstr>actbop15</vt:lpstr>
      <vt:lpstr>actbop16</vt:lpstr>
      <vt:lpstr>actbop17</vt:lpstr>
      <vt:lpstr>actbop</vt:lpstr>
      <vt:lpstr>actstack1</vt:lpstr>
      <vt:lpstr>actstack2</vt:lpstr>
      <vt:lpstr>actstack3</vt:lpstr>
      <vt:lpstr>actstack4</vt:lpstr>
      <vt:lpstr>actstack5</vt:lpstr>
      <vt:lpstr>actstack6</vt:lpstr>
      <vt:lpstr>actstack7</vt:lpstr>
      <vt:lpstr>actstack8</vt:lpstr>
      <vt:lpstr>actstack</vt:lpstr>
      <vt:lpstr>electrolyser</vt:lpstr>
      <vt:lpstr>hydrogen_storage</vt:lpstr>
      <vt:lpstr>pv_electricity</vt:lpstr>
      <vt:lpstr>wind_electricity</vt:lpstr>
      <vt:lpstr>plant_operation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Holkan Vazquez Sanchez</dc:creator>
  <cp:lastModifiedBy>Holkan Vazquez Sanchez</cp:lastModifiedBy>
  <dcterms:created xsi:type="dcterms:W3CDTF">2025-03-25T07:27:40Z</dcterms:created>
  <dcterms:modified xsi:type="dcterms:W3CDTF">2025-10-05T09:51:54Z</dcterms:modified>
</cp:coreProperties>
</file>